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hidden" name="Apr 26" sheetId="2" r:id="rId6"/>
    <sheet state="hidden" name="May 26" sheetId="3" r:id="rId7"/>
    <sheet state="hidden" name="Jun 26" sheetId="4" r:id="rId8"/>
    <sheet state="hidden" name="Jul 26" sheetId="5" r:id="rId9"/>
    <sheet state="hidden" name="Aug 26" sheetId="6" r:id="rId10"/>
    <sheet state="visible" name="Sep 26" sheetId="7" r:id="rId11"/>
    <sheet state="visible" name="Oct 26" sheetId="8" r:id="rId12"/>
    <sheet state="visible" name="Nov 26" sheetId="9" r:id="rId13"/>
    <sheet state="visible" name="Dec 26" sheetId="10" r:id="rId14"/>
    <sheet state="hidden" name="Mar 26" sheetId="11" r:id="rId15"/>
    <sheet state="hidden" name="Feb 26" sheetId="12" r:id="rId16"/>
    <sheet state="hidden" name="Holidays" sheetId="13" r:id="rId17"/>
    <sheet state="hidden" name="Time Types" sheetId="14" r:id="rId18"/>
    <sheet state="hidden" name="Jan 26" sheetId="15" r:id="rId19"/>
  </sheets>
  <definedNames/>
  <calcPr/>
</workbook>
</file>

<file path=xl/sharedStrings.xml><?xml version="1.0" encoding="utf-8"?>
<sst xmlns="http://schemas.openxmlformats.org/spreadsheetml/2006/main" count="601" uniqueCount="87">
  <si>
    <t>Welcome to the new and improved 2026 time tracker, complete with better separation of pay periods and tracking of leave types such as PTO, Bank Time, the Floating Holiday, and Training Time.</t>
  </si>
  <si>
    <t>April</t>
  </si>
  <si>
    <r>
      <rPr>
        <rFont val="Arial"/>
        <color theme="1"/>
      </rPr>
      <t xml:space="preserve">To use this template, go to </t>
    </r>
    <r>
      <rPr>
        <rFont val="Arial"/>
        <b/>
        <color theme="1"/>
      </rPr>
      <t>File &gt; Make a Copy &gt; Save to Drive</t>
    </r>
  </si>
  <si>
    <t>In your personal copy, change the values in the red outlined cells below (Earning Rate, PTO, Bank). The values for F.Holiday and Training are pre-populated.</t>
  </si>
  <si>
    <t>PTO Totals</t>
  </si>
  <si>
    <t>If you run into formula errors, or have questions on how to use, please reach out!</t>
  </si>
  <si>
    <t>Bank Totals</t>
  </si>
  <si>
    <t>F.Holiday Total</t>
  </si>
  <si>
    <t>Earning Rate</t>
  </si>
  <si>
    <t>Training Total</t>
  </si>
  <si>
    <t>End of 2025 Totals</t>
  </si>
  <si>
    <t>Start of 2026 Totals</t>
  </si>
  <si>
    <t>PTO</t>
  </si>
  <si>
    <t>Start of Month</t>
  </si>
  <si>
    <t>F.Holiday</t>
  </si>
  <si>
    <t>Bank</t>
  </si>
  <si>
    <t>Training</t>
  </si>
  <si>
    <t>Tips:</t>
  </si>
  <si>
    <r>
      <rPr>
        <rFont val="Arial"/>
        <color theme="1"/>
      </rPr>
      <t xml:space="preserve">In the Bank-Save and Bank-Use columns for each pay period, enter the value you earned for compensation time in the </t>
    </r>
    <r>
      <rPr>
        <rFont val="Arial"/>
        <b/>
        <color theme="1"/>
      </rPr>
      <t>Bank-Save</t>
    </r>
    <r>
      <rPr>
        <rFont val="Arial"/>
        <color theme="1"/>
      </rPr>
      <t xml:space="preserve"> column and enter the value for used compensation time in the </t>
    </r>
    <r>
      <rPr>
        <rFont val="Arial"/>
        <b/>
        <color theme="1"/>
      </rPr>
      <t>Bank-Use</t>
    </r>
    <r>
      <rPr>
        <rFont val="Arial"/>
        <color theme="1"/>
      </rPr>
      <t xml:space="preserve"> column.</t>
    </r>
  </si>
  <si>
    <t>Remember you cannot save and use compensation time in the same pay period.</t>
  </si>
  <si>
    <t>Holiday times have been pre-populated in each pay period according to the Federal Holiday Schedule for 2026.</t>
  </si>
  <si>
    <t>June</t>
  </si>
  <si>
    <t>May</t>
  </si>
  <si>
    <t>End of Period 1</t>
  </si>
  <si>
    <t>July</t>
  </si>
  <si>
    <t>End of Period 2</t>
  </si>
  <si>
    <t>IN</t>
  </si>
  <si>
    <t>OUT</t>
  </si>
  <si>
    <t>Duration</t>
  </si>
  <si>
    <t>Pay Period 1</t>
  </si>
  <si>
    <t>Weekday</t>
  </si>
  <si>
    <t>Bank-Save</t>
  </si>
  <si>
    <t>Bank-Use</t>
  </si>
  <si>
    <t>Holiday</t>
  </si>
  <si>
    <t>Government</t>
  </si>
  <si>
    <t>Overhead</t>
  </si>
  <si>
    <t>Other</t>
  </si>
  <si>
    <t>Total</t>
  </si>
  <si>
    <t>Estimated</t>
  </si>
  <si>
    <t>-</t>
  </si>
  <si>
    <t>IR</t>
  </si>
  <si>
    <t>DURATION</t>
  </si>
  <si>
    <t>AC</t>
  </si>
  <si>
    <t>pto?</t>
  </si>
  <si>
    <t>unsure when left</t>
  </si>
  <si>
    <t>out .5/unsure when left</t>
  </si>
  <si>
    <t>2-230</t>
  </si>
  <si>
    <t>Totals</t>
  </si>
  <si>
    <t>4:15-4:40</t>
  </si>
  <si>
    <t>Pay Period 2</t>
  </si>
  <si>
    <t>extra hour gov</t>
  </si>
  <si>
    <t>out .25</t>
  </si>
  <si>
    <t>before 7</t>
  </si>
  <si>
    <t>Extra hour 7-8pm</t>
  </si>
  <si>
    <t>extra .75</t>
  </si>
  <si>
    <t>extra .25</t>
  </si>
  <si>
    <t>extra 2 hr</t>
  </si>
  <si>
    <t>extra .5 hr</t>
  </si>
  <si>
    <t>extra 1 hr</t>
  </si>
  <si>
    <t>pto</t>
  </si>
  <si>
    <t>idk</t>
  </si>
  <si>
    <t>holiday</t>
  </si>
  <si>
    <t>August</t>
  </si>
  <si>
    <t>September</t>
  </si>
  <si>
    <t>October</t>
  </si>
  <si>
    <t>November</t>
  </si>
  <si>
    <t>December</t>
  </si>
  <si>
    <t>March</t>
  </si>
  <si>
    <t>Date</t>
  </si>
  <si>
    <t>February</t>
  </si>
  <si>
    <t>Holiday Name</t>
  </si>
  <si>
    <t>New Year's Day</t>
  </si>
  <si>
    <t>Martin Luther King Jr. Day</t>
  </si>
  <si>
    <t>Presidents' Day</t>
  </si>
  <si>
    <t>Memorial Day</t>
  </si>
  <si>
    <t>Juneteenth</t>
  </si>
  <si>
    <t>Independence Day (Observed)</t>
  </si>
  <si>
    <t>Labor Day</t>
  </si>
  <si>
    <t>Columbus Day</t>
  </si>
  <si>
    <t>Veterans Day</t>
  </si>
  <si>
    <t>Thanksgiving Day</t>
  </si>
  <si>
    <t>Christmas Day</t>
  </si>
  <si>
    <t>Time Types</t>
  </si>
  <si>
    <t>Regular</t>
  </si>
  <si>
    <t>January</t>
  </si>
  <si>
    <t>Time In</t>
  </si>
  <si>
    <t>Time Out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</si>
</sst>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quot;-&quot;mmm"/>
    <numFmt numFmtId="165" formatCode="h&quot;:&quot;mm&quot; &quot;am/pm"/>
    <numFmt numFmtId="166" formatCode="h:mm am/pm"/>
    <numFmt numFmtId="167" formatCode="m/d/yyyy"/>
  </numFmts>
  <fonts count="10">
    <font>
      <sz val="10.0"/>
      <color rgb="FF000000"/>
      <name val="Arial"/>
      <scheme val="minor"/>
    </font>
    <font>
      <color theme="1"/>
      <name val="Arial"/>
      <scheme val="minor"/>
    </font>
    <font>
      <b/>
      <color rgb="FFFFFFFF"/>
      <name val="Arial"/>
      <scheme val="minor"/>
    </font>
    <font>
      <b/>
      <color rgb="FF000000"/>
      <name val="Arial"/>
      <scheme val="minor"/>
    </font>
    <font>
      <b/>
      <color theme="1"/>
      <name val="Arial"/>
      <scheme val="minor"/>
    </font>
    <font>
      <i/>
      <color theme="1"/>
      <name val="Arial"/>
      <scheme val="minor"/>
    </font>
    <font>
      <color rgb="FF000000"/>
      <name val="Arial"/>
      <scheme val="minor"/>
    </font>
    <font>
      <b/>
      <color rgb="FFFFFFFF"/>
      <name val="Arial"/>
    </font>
    <font>
      <color theme="1"/>
      <name val="Arial"/>
    </font>
    <font>
      <color rgb="FF1F1F1F"/>
      <name val="&quot;Google Sans Text&quot;"/>
    </font>
  </fonts>
  <fills count="5">
    <fill>
      <patternFill patternType="none"/>
    </fill>
    <fill>
      <patternFill patternType="lightGray"/>
    </fill>
    <fill>
      <patternFill patternType="solid">
        <fgColor rgb="FF1155CC"/>
        <bgColor rgb="FF1155CC"/>
      </patternFill>
    </fill>
    <fill>
      <patternFill patternType="solid">
        <fgColor rgb="FFC9DAF8"/>
        <bgColor rgb="FFC9DAF8"/>
      </patternFill>
    </fill>
    <fill>
      <patternFill patternType="solid">
        <fgColor rgb="FF6D9EEB"/>
        <bgColor rgb="FF6D9EEB"/>
      </patternFill>
    </fill>
  </fills>
  <borders count="4">
    <border/>
    <border>
      <left style="thick">
        <color rgb="FFFF0000"/>
      </left>
      <right style="thick">
        <color rgb="FFFF0000"/>
      </right>
      <top style="thick">
        <color rgb="FFFF0000"/>
      </top>
      <bottom style="thick">
        <color rgb="FFFF0000"/>
      </bottom>
    </border>
    <border>
      <left style="thick">
        <color rgb="FFFF0000"/>
      </left>
      <right style="thick">
        <color rgb="FFFF0000"/>
      </right>
      <top style="thick">
        <color rgb="FFFF0000"/>
      </top>
    </border>
    <border>
      <left style="thick">
        <color rgb="FFFF0000"/>
      </left>
      <right style="thick">
        <color rgb="FFFF0000"/>
      </right>
      <bottom style="thick">
        <color rgb="FFFF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horizontal="center" readingOrder="0"/>
    </xf>
    <xf borderId="0" fillId="2" fontId="2" numFmtId="0" xfId="0" applyAlignment="1" applyFill="1" applyFont="1">
      <alignment readingOrder="0"/>
    </xf>
    <xf borderId="0" fillId="0" fontId="1" numFmtId="0" xfId="0" applyAlignment="1" applyFont="1">
      <alignment horizontal="center"/>
    </xf>
    <xf borderId="1" fillId="3" fontId="1" numFmtId="0" xfId="0" applyAlignment="1" applyBorder="1" applyFill="1" applyFont="1">
      <alignment readingOrder="0"/>
    </xf>
    <xf borderId="0" fillId="4" fontId="3" numFmtId="0" xfId="0" applyAlignment="1" applyFill="1" applyFont="1">
      <alignment readingOrder="0"/>
    </xf>
    <xf borderId="2" fillId="3" fontId="1" numFmtId="0" xfId="0" applyAlignment="1" applyBorder="1" applyFill="1" applyFont="1">
      <alignment readingOrder="0"/>
    </xf>
    <xf borderId="0" fillId="4" fontId="4" numFmtId="0" xfId="0" applyAlignment="1" applyFill="1" applyFont="1">
      <alignment horizontal="center" readingOrder="0"/>
    </xf>
    <xf borderId="0" fillId="3" fontId="1" numFmtId="0" xfId="0" applyAlignment="1" applyFill="1" applyFont="1">
      <alignment readingOrder="0"/>
    </xf>
    <xf borderId="3" fillId="3" fontId="1" numFmtId="0" xfId="0" applyAlignment="1" applyBorder="1" applyFill="1" applyFont="1">
      <alignment readingOrder="0"/>
    </xf>
    <xf borderId="0" fillId="0" fontId="4" numFmtId="0" xfId="0" applyAlignment="1" applyFont="1">
      <alignment readingOrder="0"/>
    </xf>
    <xf borderId="0" fillId="3" fontId="5" numFmtId="0" xfId="0" applyAlignment="1" applyFill="1" applyFont="1">
      <alignment horizontal="center"/>
    </xf>
    <xf borderId="0" fillId="0" fontId="1" numFmtId="0" xfId="0" applyAlignment="1" applyFont="1">
      <alignment horizontal="center" readingOrder="0"/>
    </xf>
    <xf borderId="0" fillId="2" fontId="2" numFmtId="0" xfId="0" applyAlignment="1" applyFill="1" applyFont="1">
      <alignment horizontal="center"/>
    </xf>
    <xf borderId="0" fillId="4" fontId="6" numFmtId="164" xfId="0" applyAlignment="1" applyFill="1" applyFont="1" applyNumberFormat="1">
      <alignment horizontal="center"/>
    </xf>
    <xf borderId="0" fillId="4" fontId="6" numFmtId="0" xfId="0" applyAlignment="1" applyFill="1" applyFont="1">
      <alignment horizontal="center"/>
    </xf>
    <xf borderId="0" fillId="3" fontId="1" numFmtId="0" xfId="0" applyAlignment="1" applyFill="1" applyFont="1">
      <alignment horizontal="center" readingOrder="0"/>
    </xf>
    <xf borderId="0" fillId="3" fontId="1" numFmtId="0" xfId="0" applyAlignment="1" applyFill="1" applyFont="1">
      <alignment horizontal="center"/>
    </xf>
    <xf borderId="0" fillId="0" fontId="1" numFmtId="165" xfId="0" applyAlignment="1" applyFont="1" applyNumberFormat="1">
      <alignment horizontal="center" readingOrder="0"/>
    </xf>
    <xf borderId="0" fillId="0" fontId="1" numFmtId="166" xfId="0" applyAlignment="1" applyFont="1" applyNumberFormat="1">
      <alignment horizontal="center" readingOrder="0"/>
    </xf>
    <xf borderId="0" fillId="0" fontId="1" numFmtId="4" xfId="0" applyAlignment="1" applyFont="1" applyNumberFormat="1">
      <alignment horizontal="center"/>
    </xf>
    <xf borderId="0" fillId="0" fontId="1" numFmtId="4" xfId="0" applyAlignment="1" applyFont="1" applyNumberFormat="1">
      <alignment horizontal="center" readingOrder="0"/>
    </xf>
    <xf borderId="0" fillId="0" fontId="1" numFmtId="20" xfId="0" applyAlignment="1" applyFont="1" applyNumberFormat="1">
      <alignment horizontal="center" readingOrder="0"/>
    </xf>
    <xf borderId="0" fillId="0" fontId="4" numFmtId="4" xfId="0" applyAlignment="1" applyFont="1" applyNumberFormat="1">
      <alignment horizontal="center"/>
    </xf>
    <xf borderId="0" fillId="0" fontId="4" numFmtId="0" xfId="0" applyAlignment="1" applyFont="1">
      <alignment horizontal="center"/>
    </xf>
    <xf borderId="0" fillId="2" fontId="7" numFmtId="0" xfId="0" applyAlignment="1" applyFill="1" applyFont="1">
      <alignment horizontal="center" vertical="bottom"/>
    </xf>
    <xf borderId="0" fillId="4" fontId="8" numFmtId="0" xfId="0" applyAlignment="1" applyFill="1" applyFont="1">
      <alignment horizontal="center" vertical="bottom"/>
    </xf>
    <xf borderId="0" fillId="4" fontId="6" numFmtId="0" xfId="0" applyAlignment="1" applyFill="1" applyFont="1">
      <alignment horizontal="center" readingOrder="0"/>
    </xf>
    <xf borderId="0" fillId="0" fontId="8" numFmtId="0" xfId="0" applyAlignment="1" applyFont="1">
      <alignment horizontal="center" vertical="bottom"/>
    </xf>
    <xf borderId="0" fillId="4" fontId="8" numFmtId="0" xfId="0" applyAlignment="1" applyFill="1" applyFont="1">
      <alignment vertical="bottom"/>
    </xf>
    <xf borderId="0" fillId="0" fontId="8" numFmtId="0" xfId="0" applyAlignment="1" applyFont="1">
      <alignment vertical="bottom"/>
    </xf>
    <xf borderId="0" fillId="0" fontId="9" numFmtId="0" xfId="0" applyAlignment="1" applyFont="1">
      <alignment readingOrder="0"/>
    </xf>
    <xf borderId="0" fillId="0" fontId="9" numFmtId="167" xfId="0" applyAlignment="1" applyFont="1" applyNumberFormat="1">
      <alignment readingOrder="0"/>
    </xf>
    <xf borderId="0" fillId="0" fontId="6" numFmtId="0" xfId="0" applyAlignment="1" applyFont="1">
      <alignment readingOrder="0"/>
    </xf>
    <xf borderId="0" fillId="0" fontId="6" numFmtId="0" xfId="0" applyFont="1"/>
    <xf borderId="0" fillId="3" fontId="1" numFmtId="166" xfId="0" applyAlignment="1" applyFill="1" applyFont="1" applyNumberFormat="1">
      <alignment horizontal="center" readingOrder="0"/>
    </xf>
    <xf borderId="0" fillId="3" fontId="1" numFmtId="46" xfId="0" applyAlignment="1" applyFill="1" applyFont="1" applyNumberFormat="1">
      <alignment horizontal="center"/>
    </xf>
    <xf borderId="0" fillId="4" fontId="1" numFmtId="46" xfId="0" applyAlignment="1" applyFill="1" applyFont="1" applyNumberFormat="1">
      <alignment horizontal="center"/>
    </xf>
    <xf borderId="0" fillId="2" fontId="2" numFmtId="166" xfId="0" applyAlignment="1" applyFill="1" applyFont="1" applyNumberFormat="1">
      <alignment horizontal="center"/>
    </xf>
    <xf borderId="0" fillId="2" fontId="1" numFmtId="46" xfId="0" applyAlignment="1" applyFill="1" applyFont="1" applyNumberFormat="1">
      <alignment horizontal="center"/>
    </xf>
    <xf borderId="0" fillId="0" fontId="1" numFmtId="46" xfId="0" applyAlignment="1" applyFont="1" applyNumberFormat="1">
      <alignment horizontal="center"/>
    </xf>
    <xf borderId="0" fillId="0" fontId="1" numFmtId="166" xfId="0" applyAlignment="1" applyFont="1" applyNumberFormat="1">
      <alignment readingOrder="0"/>
    </xf>
  </cellXfs>
  <cellStyles count="1">
    <cellStyle xfId="0" name="Normal" builtinId="0"/>
  </cellStyles>
  <dxfs count="2">
    <dxf>
      <font/>
      <fill>
        <patternFill patternType="solid">
          <fgColor rgb="FF6D9EEB"/>
          <bgColor rgb="FF6D9EEB"/>
        </patternFill>
      </fill>
      <border/>
    </dxf>
    <dxf>
      <font>
        <b/>
        <i/>
        <color rgb="FF000000"/>
      </font>
      <fill>
        <patternFill patternType="solid">
          <fgColor rgb="FFA4C2F4"/>
          <bgColor rgb="FFA4C2F4"/>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63"/>
    <col customWidth="1" min="5" max="5" width="16.25"/>
  </cols>
  <sheetData>
    <row r="1">
      <c r="A1" s="1" t="s">
        <v>0</v>
      </c>
    </row>
    <row r="2">
      <c r="A2" s="1" t="s">
        <v>2</v>
      </c>
    </row>
    <row r="3">
      <c r="A3" s="1" t="s">
        <v>3</v>
      </c>
    </row>
    <row r="4">
      <c r="A4" s="1" t="s">
        <v>5</v>
      </c>
    </row>
    <row r="6">
      <c r="A6" s="3" t="s">
        <v>8</v>
      </c>
      <c r="B6" s="5">
        <v>5.0</v>
      </c>
    </row>
    <row r="8">
      <c r="A8" s="3" t="s">
        <v>10</v>
      </c>
      <c r="D8" s="3" t="s">
        <v>11</v>
      </c>
    </row>
    <row r="9">
      <c r="A9" s="6" t="s">
        <v>12</v>
      </c>
      <c r="B9" s="7">
        <v>71.5</v>
      </c>
      <c r="D9" s="6" t="s">
        <v>14</v>
      </c>
      <c r="E9" s="9">
        <v>8.0</v>
      </c>
    </row>
    <row r="10">
      <c r="A10" s="6" t="s">
        <v>15</v>
      </c>
      <c r="B10" s="10">
        <v>0.0</v>
      </c>
      <c r="D10" s="6" t="s">
        <v>16</v>
      </c>
      <c r="E10" s="9">
        <v>40.0</v>
      </c>
    </row>
    <row r="13">
      <c r="A13" s="11" t="s">
        <v>17</v>
      </c>
    </row>
    <row r="14">
      <c r="A14" s="1" t="s">
        <v>18</v>
      </c>
    </row>
    <row r="15">
      <c r="A15" s="1" t="s">
        <v>19</v>
      </c>
    </row>
    <row r="16">
      <c r="A16" s="1" t="s">
        <v>20</v>
      </c>
    </row>
  </sheetData>
  <mergeCells count="2">
    <mergeCell ref="A8:B8"/>
    <mergeCell ref="D8:E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16" max="16" width="8.13"/>
    <col customWidth="1" min="17" max="18" width="7.25"/>
  </cols>
  <sheetData>
    <row r="1">
      <c r="A1" s="2" t="s">
        <v>1</v>
      </c>
      <c r="B1" s="2" t="s">
        <v>4</v>
      </c>
      <c r="C1" s="2" t="s">
        <v>6</v>
      </c>
      <c r="D1" s="2" t="s">
        <v>7</v>
      </c>
      <c r="E1" s="2" t="s">
        <v>9</v>
      </c>
      <c r="F1" s="4"/>
      <c r="I1" s="4"/>
      <c r="J1" s="4"/>
      <c r="K1" s="4"/>
      <c r="L1" s="4"/>
      <c r="M1" s="4"/>
      <c r="N1" s="4"/>
      <c r="O1" s="4"/>
      <c r="P1" s="4"/>
      <c r="Q1" s="4"/>
      <c r="R1" s="4"/>
      <c r="S1" s="4"/>
      <c r="T1" s="4"/>
      <c r="U1" s="4"/>
      <c r="V1" s="4"/>
      <c r="W1" s="4"/>
      <c r="X1" s="4"/>
      <c r="Y1" s="4"/>
      <c r="Z1" s="4"/>
    </row>
    <row r="2">
      <c r="A2" s="8" t="s">
        <v>13</v>
      </c>
      <c r="B2" s="12">
        <f t="array" ref="B2">INDIRECT(TEXT(EDATE(DATE(2026, MATCH($A$1, {"January","February","March","April","May","June","July","August","September","October","November","December"}, 0), 1), -1), "mmm") &amp; " 26!B4")</f>
        <v>51.5</v>
      </c>
      <c r="C2" s="12">
        <f t="array" ref="C2">INDIRECT(TEXT(EDATE(DATE(2026, MATCH($A$1, {"January","February","March","April","May","June","July","August","September","October","November","December"}, 0), 1), -1), "mmm") &amp; " 26!C4")</f>
        <v>0</v>
      </c>
      <c r="D2" s="12">
        <f t="array" ref="D2">INDIRECT(TEXT(EDATE(DATE(2026, MATCH($A$1, {"January","February","March","April","May","June","July","August","September","October","November","December"}, 0), 1), -1), "mmm") &amp; " 26!D4")</f>
        <v>8</v>
      </c>
      <c r="E2" s="12">
        <f t="array" ref="E2">INDIRECT(TEXT(EDATE(DATE(2026, MATCH($A$1, {"January","February","March","April","May","June","July","August","September","October","November","December"}, 0), 1), -1), "mmm") &amp; " 26!E4")</f>
        <v>40</v>
      </c>
      <c r="F2" s="4"/>
      <c r="G2" s="2" t="s">
        <v>8</v>
      </c>
      <c r="H2" s="12">
        <f>'START HERE'!B6</f>
        <v>5</v>
      </c>
      <c r="I2" s="4"/>
      <c r="J2" s="4"/>
      <c r="K2" s="4"/>
      <c r="L2" s="4"/>
      <c r="M2" s="13"/>
      <c r="O2" s="4"/>
      <c r="P2" s="13"/>
      <c r="R2" s="4"/>
      <c r="S2" s="4"/>
      <c r="T2" s="4"/>
      <c r="U2" s="4"/>
      <c r="V2" s="4"/>
      <c r="W2" s="4"/>
      <c r="X2" s="4"/>
      <c r="Y2" s="4"/>
      <c r="Z2" s="4"/>
    </row>
    <row r="3">
      <c r="A3" s="8" t="s">
        <v>23</v>
      </c>
      <c r="B3" s="12">
        <f>B2+H2-F22</f>
        <v>56.5</v>
      </c>
      <c r="C3" s="12">
        <f>C2+D22-E22</f>
        <v>1</v>
      </c>
      <c r="D3" s="12">
        <f t="shared" ref="D3:E3" si="1">D2-I22</f>
        <v>8</v>
      </c>
      <c r="E3" s="12">
        <f t="shared" si="1"/>
        <v>40</v>
      </c>
      <c r="F3" s="4"/>
      <c r="G3" s="4"/>
      <c r="H3" s="4"/>
      <c r="I3" s="4"/>
      <c r="J3" s="4"/>
      <c r="K3" s="4"/>
      <c r="L3" s="4"/>
      <c r="M3" s="4"/>
      <c r="N3" s="4"/>
      <c r="O3" s="4"/>
      <c r="P3" s="4"/>
      <c r="Q3" s="4"/>
      <c r="R3" s="4"/>
      <c r="S3" s="4"/>
      <c r="T3" s="4"/>
      <c r="U3" s="4"/>
      <c r="V3" s="4"/>
      <c r="W3" s="4"/>
      <c r="X3" s="4"/>
      <c r="Y3" s="4"/>
      <c r="Z3" s="4"/>
    </row>
    <row r="4">
      <c r="A4" s="8" t="s">
        <v>25</v>
      </c>
      <c r="B4" s="12">
        <f>B3+H2-F42</f>
        <v>61.5</v>
      </c>
      <c r="C4" s="12">
        <f>C3+D42-E42</f>
        <v>2.25</v>
      </c>
      <c r="D4" s="12">
        <f t="shared" ref="D4:E4" si="2">D3-I42</f>
        <v>8</v>
      </c>
      <c r="E4" s="12">
        <f t="shared" si="2"/>
        <v>40</v>
      </c>
      <c r="F4" s="4"/>
      <c r="G4" s="4"/>
      <c r="H4" s="4"/>
      <c r="I4" s="4"/>
      <c r="J4" s="4"/>
      <c r="K4" s="4"/>
      <c r="L4" s="4"/>
      <c r="M4" s="4"/>
      <c r="N4" s="4"/>
      <c r="O4" s="4"/>
      <c r="P4" s="4"/>
      <c r="Q4" s="4"/>
      <c r="R4" s="4"/>
      <c r="S4" s="4"/>
      <c r="T4" s="4"/>
      <c r="U4" s="4"/>
      <c r="V4" s="4"/>
      <c r="W4" s="4"/>
      <c r="X4" s="4"/>
      <c r="Y4" s="4"/>
      <c r="Z4" s="4"/>
    </row>
    <row r="5">
      <c r="A5" s="4"/>
      <c r="B5" s="4"/>
      <c r="C5" s="4"/>
      <c r="D5" s="4"/>
      <c r="E5" s="4"/>
      <c r="F5" s="4"/>
      <c r="G5" s="4"/>
      <c r="H5" s="4"/>
      <c r="I5" s="4"/>
      <c r="J5" s="4"/>
      <c r="K5" s="4"/>
      <c r="L5" s="4"/>
      <c r="M5" s="4"/>
      <c r="N5" s="4"/>
      <c r="O5" s="4"/>
      <c r="P5" s="13" t="s">
        <v>26</v>
      </c>
      <c r="Q5" s="13" t="s">
        <v>27</v>
      </c>
      <c r="R5" s="13" t="s">
        <v>28</v>
      </c>
      <c r="S5" s="4"/>
      <c r="T5" s="4"/>
      <c r="U5" s="4"/>
      <c r="V5" s="4"/>
      <c r="W5" s="4"/>
      <c r="X5" s="4"/>
      <c r="Y5" s="4"/>
      <c r="Z5" s="4"/>
    </row>
    <row r="6">
      <c r="A6" s="2" t="s">
        <v>29</v>
      </c>
      <c r="B6" s="2" t="s">
        <v>30</v>
      </c>
      <c r="C6" s="14" t="str">
        <f t="array" ref="C6:L6">TRANSPOSE('Time Types'!A2:A11)</f>
        <v>Regular</v>
      </c>
      <c r="D6" s="14" t="s">
        <v>31</v>
      </c>
      <c r="E6" s="14" t="s">
        <v>32</v>
      </c>
      <c r="F6" s="14" t="s">
        <v>12</v>
      </c>
      <c r="G6" s="14" t="s">
        <v>33</v>
      </c>
      <c r="H6" s="14" t="s">
        <v>34</v>
      </c>
      <c r="I6" s="14" t="s">
        <v>14</v>
      </c>
      <c r="J6" s="14" t="s">
        <v>16</v>
      </c>
      <c r="K6" s="14" t="s">
        <v>35</v>
      </c>
      <c r="L6" s="14" t="s">
        <v>36</v>
      </c>
      <c r="M6" s="2" t="s">
        <v>37</v>
      </c>
      <c r="N6" s="2" t="s">
        <v>38</v>
      </c>
      <c r="O6" s="4"/>
      <c r="P6" s="4"/>
      <c r="Q6" s="4"/>
      <c r="R6" s="4"/>
      <c r="S6" s="4"/>
      <c r="T6" s="4"/>
      <c r="U6" s="4"/>
      <c r="V6" s="4"/>
      <c r="W6" s="4"/>
      <c r="X6" s="4"/>
      <c r="Y6" s="4"/>
      <c r="Z6" s="4"/>
    </row>
    <row r="7">
      <c r="A7" s="15">
        <f>DATE(2026, MONTH(DATEVALUE($A$1 &amp; " 1")), 1)</f>
        <v>46113</v>
      </c>
      <c r="B7" s="16" t="str">
        <f t="shared" ref="B7:B21" si="3">text(A7,"ddd")</f>
        <v>Wed</v>
      </c>
      <c r="C7" s="17">
        <v>6.75</v>
      </c>
      <c r="D7" s="18"/>
      <c r="E7" s="18"/>
      <c r="F7" s="18"/>
      <c r="G7" s="18" t="str">
        <f>IF(COUNTIF(Holidays!$A$2:$A$12,$A7)&gt;0, 8,"")</f>
        <v/>
      </c>
      <c r="H7" s="18"/>
      <c r="I7" s="18"/>
      <c r="J7" s="18"/>
      <c r="K7" s="18"/>
      <c r="L7" s="18"/>
      <c r="M7" s="16">
        <f t="shared" ref="M7:M9" si="4">sum(C7:L7)</f>
        <v>6.75</v>
      </c>
      <c r="N7" s="16">
        <f t="shared" ref="N7:N21" si="5">IF(OR(B7="Sat", B7="Sun"), "", 8)</f>
        <v>8</v>
      </c>
      <c r="O7" s="4"/>
      <c r="P7" s="19">
        <v>0.4270833333333333</v>
      </c>
      <c r="Q7" s="20">
        <v>0.7083333333333334</v>
      </c>
      <c r="R7" s="21">
        <f t="shared" ref="R7:R9" si="6">(Q7-P7)*24</f>
        <v>6.75</v>
      </c>
      <c r="S7" s="4"/>
      <c r="T7" s="4"/>
      <c r="U7" s="4"/>
      <c r="V7" s="4"/>
      <c r="W7" s="4"/>
      <c r="X7" s="4"/>
      <c r="Y7" s="4"/>
      <c r="Z7" s="4"/>
    </row>
    <row r="8">
      <c r="A8" s="15">
        <f t="shared" ref="A8:A21" si="7">A7+1</f>
        <v>46114</v>
      </c>
      <c r="B8" s="16" t="str">
        <f t="shared" si="3"/>
        <v>Thu</v>
      </c>
      <c r="C8" s="17">
        <v>8.75</v>
      </c>
      <c r="D8" s="18"/>
      <c r="E8" s="18"/>
      <c r="F8" s="18"/>
      <c r="G8" s="18" t="str">
        <f>IF(COUNTIF(Holidays!$A$2:$A$12,$A8)&gt;0, 8,"")</f>
        <v/>
      </c>
      <c r="H8" s="18"/>
      <c r="I8" s="18"/>
      <c r="J8" s="18"/>
      <c r="K8" s="18"/>
      <c r="L8" s="18"/>
      <c r="M8" s="16">
        <f t="shared" si="4"/>
        <v>8.75</v>
      </c>
      <c r="N8" s="16">
        <f t="shared" si="5"/>
        <v>8</v>
      </c>
      <c r="O8" s="4"/>
      <c r="P8" s="20">
        <v>0.34375</v>
      </c>
      <c r="Q8" s="20">
        <v>0.7083333333333334</v>
      </c>
      <c r="R8" s="21">
        <f t="shared" si="6"/>
        <v>8.75</v>
      </c>
      <c r="S8" s="4"/>
      <c r="T8" s="4"/>
      <c r="U8" s="4"/>
      <c r="V8" s="4"/>
      <c r="W8" s="4"/>
      <c r="X8" s="4"/>
      <c r="Y8" s="4"/>
      <c r="Z8" s="4"/>
    </row>
    <row r="9">
      <c r="A9" s="15">
        <f t="shared" si="7"/>
        <v>46115</v>
      </c>
      <c r="B9" s="16" t="str">
        <f t="shared" si="3"/>
        <v>Fri</v>
      </c>
      <c r="C9" s="17">
        <v>8.0</v>
      </c>
      <c r="D9" s="18"/>
      <c r="E9" s="18"/>
      <c r="F9" s="18"/>
      <c r="G9" s="18" t="str">
        <f>IF(COUNTIF(Holidays!$A$2:$A$12,$A9)&gt;0, 8,"")</f>
        <v/>
      </c>
      <c r="H9" s="18"/>
      <c r="I9" s="18"/>
      <c r="J9" s="18"/>
      <c r="K9" s="18"/>
      <c r="L9" s="18"/>
      <c r="M9" s="16">
        <f t="shared" si="4"/>
        <v>8</v>
      </c>
      <c r="N9" s="16">
        <f t="shared" si="5"/>
        <v>8</v>
      </c>
      <c r="O9" s="4"/>
      <c r="P9" s="20">
        <v>0.3854166666666667</v>
      </c>
      <c r="Q9" s="19">
        <v>0.71875</v>
      </c>
      <c r="R9" s="21">
        <f t="shared" si="6"/>
        <v>8</v>
      </c>
      <c r="S9" s="4"/>
      <c r="T9" s="4"/>
      <c r="U9" s="4"/>
      <c r="V9" s="4"/>
      <c r="W9" s="4"/>
      <c r="X9" s="4"/>
      <c r="Y9" s="4"/>
      <c r="Z9" s="4"/>
    </row>
    <row r="10">
      <c r="A10" s="15">
        <f t="shared" si="7"/>
        <v>46116</v>
      </c>
      <c r="B10" s="16" t="str">
        <f t="shared" si="3"/>
        <v>Sat</v>
      </c>
      <c r="C10" s="18"/>
      <c r="D10" s="18"/>
      <c r="E10" s="18"/>
      <c r="F10" s="18"/>
      <c r="G10" s="18" t="str">
        <f>IF(COUNTIF(Holidays!$A$2:$A$12,$A10)&gt;0, 8,"")</f>
        <v/>
      </c>
      <c r="H10" s="18"/>
      <c r="I10" s="18"/>
      <c r="J10" s="18"/>
      <c r="K10" s="18"/>
      <c r="L10" s="18"/>
      <c r="M10" s="16"/>
      <c r="N10" s="16" t="str">
        <f t="shared" si="5"/>
        <v/>
      </c>
      <c r="O10" s="4"/>
      <c r="P10" s="13" t="s">
        <v>39</v>
      </c>
      <c r="Q10" s="13" t="s">
        <v>39</v>
      </c>
      <c r="R10" s="22" t="s">
        <v>39</v>
      </c>
      <c r="S10" s="4"/>
      <c r="T10" s="4"/>
      <c r="U10" s="4"/>
      <c r="V10" s="4"/>
      <c r="W10" s="4"/>
      <c r="X10" s="4"/>
      <c r="Y10" s="4"/>
      <c r="Z10" s="4"/>
    </row>
    <row r="11">
      <c r="A11" s="15">
        <f t="shared" si="7"/>
        <v>46117</v>
      </c>
      <c r="B11" s="16" t="str">
        <f t="shared" si="3"/>
        <v>Sun</v>
      </c>
      <c r="C11" s="17"/>
      <c r="D11" s="18"/>
      <c r="E11" s="18"/>
      <c r="F11" s="18"/>
      <c r="G11" s="18" t="str">
        <f>IF(COUNTIF(Holidays!$A$2:$A$12,$A11)&gt;0, 8,"")</f>
        <v/>
      </c>
      <c r="H11" s="18"/>
      <c r="I11" s="18"/>
      <c r="J11" s="18"/>
      <c r="K11" s="18"/>
      <c r="L11" s="18"/>
      <c r="M11" s="16"/>
      <c r="N11" s="16" t="str">
        <f t="shared" si="5"/>
        <v/>
      </c>
      <c r="O11" s="4"/>
      <c r="P11" s="13" t="s">
        <v>39</v>
      </c>
      <c r="Q11" s="13" t="s">
        <v>39</v>
      </c>
      <c r="R11" s="22" t="s">
        <v>39</v>
      </c>
      <c r="S11" s="4"/>
      <c r="T11" s="4"/>
      <c r="U11" s="4"/>
      <c r="V11" s="4"/>
      <c r="W11" s="4"/>
      <c r="X11" s="4"/>
      <c r="Y11" s="4"/>
      <c r="Z11" s="4"/>
    </row>
    <row r="12">
      <c r="A12" s="15">
        <f t="shared" si="7"/>
        <v>46118</v>
      </c>
      <c r="B12" s="16" t="str">
        <f t="shared" si="3"/>
        <v>Mon</v>
      </c>
      <c r="C12" s="17">
        <v>7.5</v>
      </c>
      <c r="D12" s="18"/>
      <c r="E12" s="18"/>
      <c r="F12" s="17"/>
      <c r="G12" s="18" t="str">
        <f>IF(COUNTIF(Holidays!$A$2:$A$12,$A12)&gt;0, 8,"")</f>
        <v/>
      </c>
      <c r="H12" s="18"/>
      <c r="I12" s="18"/>
      <c r="J12" s="18"/>
      <c r="K12" s="18"/>
      <c r="L12" s="18"/>
      <c r="M12" s="16">
        <f t="shared" ref="M12:M16" si="8">sum(C12:L12)</f>
        <v>7.5</v>
      </c>
      <c r="N12" s="16">
        <f t="shared" si="5"/>
        <v>8</v>
      </c>
      <c r="O12" s="4"/>
      <c r="P12" s="20">
        <v>0.3680555555555556</v>
      </c>
      <c r="Q12" s="20">
        <v>0.7222222222222222</v>
      </c>
      <c r="R12" s="21">
        <f>(Q12-P12)*24-1</f>
        <v>7.5</v>
      </c>
      <c r="S12" s="4"/>
      <c r="T12" s="4"/>
      <c r="U12" s="4"/>
      <c r="V12" s="4"/>
      <c r="W12" s="4"/>
      <c r="X12" s="4"/>
      <c r="Y12" s="4"/>
      <c r="Z12" s="4"/>
    </row>
    <row r="13">
      <c r="A13" s="15">
        <f t="shared" si="7"/>
        <v>46119</v>
      </c>
      <c r="B13" s="16" t="str">
        <f t="shared" si="3"/>
        <v>Tue</v>
      </c>
      <c r="C13" s="17">
        <v>6.25</v>
      </c>
      <c r="D13" s="18"/>
      <c r="E13" s="18"/>
      <c r="F13" s="18"/>
      <c r="G13" s="18" t="str">
        <f>IF(COUNTIF(Holidays!$A$2:$A$12,$A13)&gt;0, 8,"")</f>
        <v/>
      </c>
      <c r="H13" s="18"/>
      <c r="I13" s="18"/>
      <c r="J13" s="18"/>
      <c r="K13" s="18"/>
      <c r="L13" s="18"/>
      <c r="M13" s="16">
        <f t="shared" si="8"/>
        <v>6.25</v>
      </c>
      <c r="N13" s="16">
        <f t="shared" si="5"/>
        <v>8</v>
      </c>
      <c r="O13" s="4"/>
      <c r="P13" s="20">
        <v>0.4166666666666667</v>
      </c>
      <c r="Q13" s="19">
        <v>0.6770833333333334</v>
      </c>
      <c r="R13" s="21">
        <f t="shared" ref="R13:R16" si="9">(Q13-P13)*24</f>
        <v>6.25</v>
      </c>
      <c r="S13" s="4"/>
      <c r="T13" s="4"/>
      <c r="U13" s="4"/>
      <c r="V13" s="4"/>
      <c r="W13" s="4"/>
      <c r="X13" s="4"/>
      <c r="Y13" s="4"/>
      <c r="Z13" s="4"/>
    </row>
    <row r="14">
      <c r="A14" s="15">
        <f t="shared" si="7"/>
        <v>46120</v>
      </c>
      <c r="B14" s="16" t="str">
        <f t="shared" si="3"/>
        <v>Wed</v>
      </c>
      <c r="C14" s="17">
        <v>8.5</v>
      </c>
      <c r="D14" s="18"/>
      <c r="E14" s="18"/>
      <c r="F14" s="18"/>
      <c r="G14" s="18" t="str">
        <f>IF(COUNTIF(Holidays!$A$2:$A$12,$A14)&gt;0, 8,"")</f>
        <v/>
      </c>
      <c r="H14" s="18"/>
      <c r="I14" s="18"/>
      <c r="J14" s="18"/>
      <c r="K14" s="18"/>
      <c r="L14" s="18"/>
      <c r="M14" s="16">
        <f t="shared" si="8"/>
        <v>8.5</v>
      </c>
      <c r="N14" s="16">
        <f t="shared" si="5"/>
        <v>8</v>
      </c>
      <c r="O14" s="4"/>
      <c r="P14" s="20">
        <v>0.3645833333333333</v>
      </c>
      <c r="Q14" s="19">
        <v>0.71875</v>
      </c>
      <c r="R14" s="21">
        <f t="shared" si="9"/>
        <v>8.5</v>
      </c>
      <c r="S14" s="4"/>
      <c r="T14" s="4"/>
      <c r="U14" s="4"/>
      <c r="V14" s="4"/>
      <c r="W14" s="4"/>
      <c r="X14" s="4"/>
      <c r="Y14" s="4"/>
      <c r="Z14" s="4"/>
    </row>
    <row r="15">
      <c r="A15" s="15">
        <f t="shared" si="7"/>
        <v>46121</v>
      </c>
      <c r="B15" s="16" t="str">
        <f t="shared" si="3"/>
        <v>Thu</v>
      </c>
      <c r="C15" s="17">
        <v>9.75</v>
      </c>
      <c r="D15" s="18"/>
      <c r="E15" s="18"/>
      <c r="F15" s="18"/>
      <c r="G15" s="18" t="str">
        <f>IF(COUNTIF(Holidays!$A$2:$A$12,$A15)&gt;0, 8,"")</f>
        <v/>
      </c>
      <c r="H15" s="18"/>
      <c r="I15" s="18"/>
      <c r="J15" s="18"/>
      <c r="K15" s="18"/>
      <c r="L15" s="18"/>
      <c r="M15" s="16">
        <f t="shared" si="8"/>
        <v>9.75</v>
      </c>
      <c r="N15" s="16">
        <f t="shared" si="5"/>
        <v>8</v>
      </c>
      <c r="O15" s="4"/>
      <c r="P15" s="20">
        <v>0.3229166666666667</v>
      </c>
      <c r="Q15" s="19">
        <v>0.7291666666666666</v>
      </c>
      <c r="R15" s="21">
        <f t="shared" si="9"/>
        <v>9.75</v>
      </c>
      <c r="S15" s="4"/>
      <c r="T15" s="4"/>
      <c r="U15" s="4"/>
      <c r="V15" s="4"/>
      <c r="W15" s="4"/>
      <c r="X15" s="4"/>
      <c r="Y15" s="4"/>
      <c r="Z15" s="4"/>
    </row>
    <row r="16">
      <c r="A16" s="15">
        <f t="shared" si="7"/>
        <v>46122</v>
      </c>
      <c r="B16" s="16" t="str">
        <f t="shared" si="3"/>
        <v>Fri</v>
      </c>
      <c r="C16" s="17">
        <v>6.0</v>
      </c>
      <c r="D16" s="18"/>
      <c r="E16" s="18"/>
      <c r="F16" s="18"/>
      <c r="G16" s="18" t="str">
        <f>IF(COUNTIF(Holidays!$A$2:$A$12,$A16)&gt;0, 8,"")</f>
        <v/>
      </c>
      <c r="H16" s="18"/>
      <c r="I16" s="18"/>
      <c r="J16" s="18"/>
      <c r="K16" s="18"/>
      <c r="L16" s="18"/>
      <c r="M16" s="16">
        <f t="shared" si="8"/>
        <v>6</v>
      </c>
      <c r="N16" s="16">
        <f t="shared" si="5"/>
        <v>8</v>
      </c>
      <c r="O16" s="4"/>
      <c r="P16" s="20">
        <v>0.34375</v>
      </c>
      <c r="Q16" s="19">
        <v>0.59375</v>
      </c>
      <c r="R16" s="21">
        <f t="shared" si="9"/>
        <v>6</v>
      </c>
      <c r="S16" s="4"/>
      <c r="T16" s="4"/>
      <c r="U16" s="4"/>
      <c r="V16" s="4"/>
      <c r="W16" s="4"/>
      <c r="X16" s="4"/>
      <c r="Y16" s="4"/>
      <c r="Z16" s="4"/>
    </row>
    <row r="17">
      <c r="A17" s="15">
        <f t="shared" si="7"/>
        <v>46123</v>
      </c>
      <c r="B17" s="16" t="str">
        <f t="shared" si="3"/>
        <v>Sat</v>
      </c>
      <c r="C17" s="18"/>
      <c r="D17" s="18"/>
      <c r="E17" s="18"/>
      <c r="F17" s="18"/>
      <c r="G17" s="18" t="str">
        <f>IF(COUNTIF(Holidays!$A$2:$A$12,$A17)&gt;0, 8,"")</f>
        <v/>
      </c>
      <c r="H17" s="18"/>
      <c r="I17" s="18"/>
      <c r="J17" s="18"/>
      <c r="K17" s="18"/>
      <c r="L17" s="18"/>
      <c r="M17" s="16"/>
      <c r="N17" s="16" t="str">
        <f t="shared" si="5"/>
        <v/>
      </c>
      <c r="O17" s="4"/>
      <c r="P17" s="13" t="s">
        <v>39</v>
      </c>
      <c r="Q17" s="13" t="s">
        <v>39</v>
      </c>
      <c r="R17" s="22" t="s">
        <v>39</v>
      </c>
      <c r="S17" s="4"/>
      <c r="T17" s="4"/>
      <c r="U17" s="4"/>
      <c r="V17" s="4"/>
      <c r="W17" s="4"/>
      <c r="X17" s="4"/>
      <c r="Y17" s="4"/>
      <c r="Z17" s="4"/>
    </row>
    <row r="18">
      <c r="A18" s="15">
        <f t="shared" si="7"/>
        <v>46124</v>
      </c>
      <c r="B18" s="16" t="str">
        <f t="shared" si="3"/>
        <v>Sun</v>
      </c>
      <c r="C18" s="17"/>
      <c r="D18" s="18"/>
      <c r="E18" s="18"/>
      <c r="F18" s="18"/>
      <c r="G18" s="18" t="str">
        <f>IF(COUNTIF(Holidays!$A$2:$A$12,$A18)&gt;0, 8,"")</f>
        <v/>
      </c>
      <c r="H18" s="18"/>
      <c r="I18" s="18"/>
      <c r="J18" s="18"/>
      <c r="K18" s="18"/>
      <c r="L18" s="18"/>
      <c r="M18" s="16"/>
      <c r="N18" s="16" t="str">
        <f t="shared" si="5"/>
        <v/>
      </c>
      <c r="O18" s="4"/>
      <c r="P18" s="13" t="s">
        <v>39</v>
      </c>
      <c r="Q18" s="13" t="s">
        <v>39</v>
      </c>
      <c r="R18" s="22" t="s">
        <v>39</v>
      </c>
      <c r="S18" s="4"/>
      <c r="T18" s="4"/>
      <c r="U18" s="4"/>
      <c r="V18" s="4"/>
      <c r="W18" s="4"/>
      <c r="X18" s="4"/>
      <c r="Y18" s="4"/>
      <c r="Z18" s="4"/>
    </row>
    <row r="19">
      <c r="A19" s="15">
        <f t="shared" si="7"/>
        <v>46125</v>
      </c>
      <c r="B19" s="16" t="str">
        <f t="shared" si="3"/>
        <v>Mon</v>
      </c>
      <c r="C19" s="17">
        <v>9.5</v>
      </c>
      <c r="D19" s="18"/>
      <c r="E19" s="18"/>
      <c r="F19" s="18"/>
      <c r="G19" s="18" t="str">
        <f>IF(COUNTIF(Holidays!$A$2:$A$12,$A19)&gt;0, 8,"")</f>
        <v/>
      </c>
      <c r="H19" s="18"/>
      <c r="I19" s="18"/>
      <c r="J19" s="18"/>
      <c r="K19" s="18"/>
      <c r="L19" s="18"/>
      <c r="M19" s="16">
        <f t="shared" ref="M19:M21" si="10">sum(C19:L19)</f>
        <v>9.5</v>
      </c>
      <c r="N19" s="16">
        <f t="shared" si="5"/>
        <v>8</v>
      </c>
      <c r="O19" s="4"/>
      <c r="P19" s="20">
        <v>0.3333333333333333</v>
      </c>
      <c r="Q19" s="19">
        <v>0.7291666666666666</v>
      </c>
      <c r="R19" s="21">
        <f t="shared" ref="R19:R21" si="11">(Q19-P19)*24</f>
        <v>9.5</v>
      </c>
      <c r="S19" s="4"/>
      <c r="T19" s="4"/>
      <c r="U19" s="4"/>
      <c r="V19" s="4"/>
      <c r="W19" s="4"/>
      <c r="X19" s="4"/>
      <c r="Y19" s="4"/>
      <c r="Z19" s="4"/>
    </row>
    <row r="20">
      <c r="A20" s="15">
        <f t="shared" si="7"/>
        <v>46126</v>
      </c>
      <c r="B20" s="16" t="str">
        <f t="shared" si="3"/>
        <v>Tue</v>
      </c>
      <c r="C20" s="17">
        <v>9.0</v>
      </c>
      <c r="D20" s="17">
        <v>0.5</v>
      </c>
      <c r="E20" s="18"/>
      <c r="F20" s="18"/>
      <c r="G20" s="18" t="str">
        <f>IF(COUNTIF(Holidays!$A$2:$A$12,$A20)&gt;0, 8,"")</f>
        <v/>
      </c>
      <c r="H20" s="18"/>
      <c r="I20" s="18"/>
      <c r="J20" s="18"/>
      <c r="K20" s="18"/>
      <c r="L20" s="18"/>
      <c r="M20" s="16">
        <f t="shared" si="10"/>
        <v>9.5</v>
      </c>
      <c r="N20" s="16">
        <f t="shared" si="5"/>
        <v>8</v>
      </c>
      <c r="O20" s="4"/>
      <c r="P20" s="20">
        <v>0.3333333333333333</v>
      </c>
      <c r="Q20" s="19">
        <v>0.7291666666666666</v>
      </c>
      <c r="R20" s="21">
        <f t="shared" si="11"/>
        <v>9.5</v>
      </c>
      <c r="S20" s="4"/>
      <c r="T20" s="4"/>
      <c r="U20" s="4"/>
      <c r="V20" s="4"/>
      <c r="W20" s="4"/>
      <c r="X20" s="4"/>
      <c r="Y20" s="4"/>
      <c r="Z20" s="4"/>
    </row>
    <row r="21">
      <c r="A21" s="15">
        <f t="shared" si="7"/>
        <v>46127</v>
      </c>
      <c r="B21" s="16" t="str">
        <f t="shared" si="3"/>
        <v>Wed</v>
      </c>
      <c r="C21" s="17">
        <v>8.0</v>
      </c>
      <c r="D21" s="17">
        <v>0.5</v>
      </c>
      <c r="E21" s="18"/>
      <c r="F21" s="18"/>
      <c r="G21" s="18" t="str">
        <f>IF(COUNTIF(Holidays!$A$2:$A$12,$A21)&gt;0, 8,"")</f>
        <v/>
      </c>
      <c r="H21" s="18"/>
      <c r="I21" s="18"/>
      <c r="J21" s="18"/>
      <c r="K21" s="18"/>
      <c r="L21" s="18"/>
      <c r="M21" s="16">
        <f t="shared" si="10"/>
        <v>8.5</v>
      </c>
      <c r="N21" s="16">
        <f t="shared" si="5"/>
        <v>8</v>
      </c>
      <c r="O21" s="4"/>
      <c r="P21" s="20">
        <v>0.34375</v>
      </c>
      <c r="Q21" s="19">
        <v>0.6979166666666666</v>
      </c>
      <c r="R21" s="21">
        <f t="shared" si="11"/>
        <v>8.5</v>
      </c>
      <c r="S21" s="4"/>
      <c r="T21" s="4"/>
      <c r="U21" s="4"/>
      <c r="V21" s="4"/>
      <c r="W21" s="4"/>
      <c r="X21" s="4"/>
      <c r="Y21" s="4"/>
      <c r="Z21" s="4"/>
    </row>
    <row r="22">
      <c r="A22" s="2" t="s">
        <v>47</v>
      </c>
      <c r="C22" s="14">
        <f t="shared" ref="C22:N22" si="12">sum(C7:C21)</f>
        <v>88</v>
      </c>
      <c r="D22" s="14">
        <f t="shared" si="12"/>
        <v>1</v>
      </c>
      <c r="E22" s="14">
        <f t="shared" si="12"/>
        <v>0</v>
      </c>
      <c r="F22" s="14">
        <f t="shared" si="12"/>
        <v>0</v>
      </c>
      <c r="G22" s="14">
        <f t="shared" si="12"/>
        <v>0</v>
      </c>
      <c r="H22" s="14">
        <f t="shared" si="12"/>
        <v>0</v>
      </c>
      <c r="I22" s="14">
        <f t="shared" si="12"/>
        <v>0</v>
      </c>
      <c r="J22" s="14">
        <f t="shared" si="12"/>
        <v>0</v>
      </c>
      <c r="K22" s="14">
        <f t="shared" si="12"/>
        <v>0</v>
      </c>
      <c r="L22" s="14">
        <f t="shared" si="12"/>
        <v>0</v>
      </c>
      <c r="M22" s="14">
        <f t="shared" si="12"/>
        <v>89</v>
      </c>
      <c r="N22" s="14">
        <f t="shared" si="12"/>
        <v>88</v>
      </c>
      <c r="O22" s="4"/>
      <c r="P22" s="4"/>
      <c r="Q22" s="4"/>
      <c r="R22" s="2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2" t="s">
        <v>49</v>
      </c>
      <c r="B25" s="2" t="s">
        <v>30</v>
      </c>
      <c r="C25" s="14" t="str">
        <f t="array" ref="C25:L25">transpose('Time Types'!A2:A11)</f>
        <v>Regular</v>
      </c>
      <c r="D25" s="14" t="s">
        <v>31</v>
      </c>
      <c r="E25" s="14" t="s">
        <v>32</v>
      </c>
      <c r="F25" s="14" t="s">
        <v>12</v>
      </c>
      <c r="G25" s="14" t="s">
        <v>33</v>
      </c>
      <c r="H25" s="14" t="s">
        <v>34</v>
      </c>
      <c r="I25" s="14" t="s">
        <v>14</v>
      </c>
      <c r="J25" s="14" t="s">
        <v>16</v>
      </c>
      <c r="K25" s="14" t="s">
        <v>35</v>
      </c>
      <c r="L25" s="14" t="s">
        <v>36</v>
      </c>
      <c r="M25" s="2" t="s">
        <v>37</v>
      </c>
      <c r="N25" s="2" t="s">
        <v>38</v>
      </c>
      <c r="O25" s="4"/>
      <c r="P25" s="20"/>
      <c r="Q25" s="19"/>
      <c r="R25" s="21"/>
      <c r="S25" s="4"/>
      <c r="T25" s="4"/>
      <c r="U25" s="4"/>
      <c r="V25" s="4"/>
      <c r="W25" s="4"/>
      <c r="X25" s="4"/>
      <c r="Y25" s="4"/>
      <c r="Z25" s="4"/>
    </row>
    <row r="26">
      <c r="A26" s="15">
        <f>A21+1</f>
        <v>46128</v>
      </c>
      <c r="B26" s="16" t="str">
        <f t="shared" ref="B26:B40" si="13">text(A26,"ddd")</f>
        <v>Thu</v>
      </c>
      <c r="C26" s="17">
        <v>8.0</v>
      </c>
      <c r="D26" s="17">
        <v>1.25</v>
      </c>
      <c r="E26" s="18"/>
      <c r="F26" s="18"/>
      <c r="G26" s="18" t="str">
        <f>IF(COUNTIF(Holidays!$A$2:$A$12,$A26)&gt;0, 8,"")</f>
        <v/>
      </c>
      <c r="H26" s="18"/>
      <c r="I26" s="18"/>
      <c r="J26" s="18"/>
      <c r="K26" s="18"/>
      <c r="L26" s="18"/>
      <c r="M26" s="16">
        <f t="shared" ref="M26:M27" si="14">sum(C26:L26)</f>
        <v>9.25</v>
      </c>
      <c r="N26" s="16">
        <f t="shared" ref="N26:N40" si="15">IF(OR(B26="Sat", B26="Sun"), "", 8)</f>
        <v>8</v>
      </c>
      <c r="O26" s="4"/>
      <c r="P26" s="20">
        <v>0.3645833333333333</v>
      </c>
      <c r="Q26" s="19">
        <v>0.75</v>
      </c>
      <c r="R26" s="21">
        <f t="shared" ref="R26:R27" si="16">(Q26-P26)*24</f>
        <v>9.25</v>
      </c>
      <c r="S26" s="4"/>
      <c r="T26" s="4"/>
      <c r="U26" s="4"/>
      <c r="V26" s="4"/>
      <c r="W26" s="4"/>
      <c r="X26" s="4"/>
      <c r="Y26" s="4"/>
      <c r="Z26" s="4"/>
    </row>
    <row r="27">
      <c r="A27" s="15">
        <f t="shared" ref="A27:A40" si="17">A26+1</f>
        <v>46129</v>
      </c>
      <c r="B27" s="16" t="str">
        <f t="shared" si="13"/>
        <v>Fri</v>
      </c>
      <c r="C27" s="17">
        <v>8.0</v>
      </c>
      <c r="D27" s="17"/>
      <c r="E27" s="18"/>
      <c r="F27" s="18"/>
      <c r="G27" s="18" t="str">
        <f>IF(COUNTIF(Holidays!$A$2:$A$12,$A27)&gt;0, 8,"")</f>
        <v/>
      </c>
      <c r="H27" s="18"/>
      <c r="I27" s="18"/>
      <c r="J27" s="18"/>
      <c r="K27" s="18"/>
      <c r="L27" s="18"/>
      <c r="M27" s="16">
        <f t="shared" si="14"/>
        <v>8</v>
      </c>
      <c r="N27" s="16">
        <f t="shared" si="15"/>
        <v>8</v>
      </c>
      <c r="O27" s="4"/>
      <c r="P27" s="20">
        <v>0.3541666666666667</v>
      </c>
      <c r="Q27" s="19">
        <v>0.6875</v>
      </c>
      <c r="R27" s="21">
        <f t="shared" si="16"/>
        <v>8</v>
      </c>
      <c r="S27" s="4"/>
      <c r="T27" s="4"/>
      <c r="U27" s="4"/>
      <c r="V27" s="4"/>
      <c r="W27" s="4"/>
      <c r="X27" s="4"/>
      <c r="Y27" s="4"/>
      <c r="Z27" s="4"/>
    </row>
    <row r="28">
      <c r="A28" s="15">
        <f t="shared" si="17"/>
        <v>46130</v>
      </c>
      <c r="B28" s="16" t="str">
        <f t="shared" si="13"/>
        <v>Sat</v>
      </c>
      <c r="C28" s="18"/>
      <c r="D28" s="18"/>
      <c r="E28" s="18"/>
      <c r="F28" s="18"/>
      <c r="G28" s="18" t="str">
        <f>IF(COUNTIF(Holidays!$A$2:$A$12,$A28)&gt;0, 8,"")</f>
        <v/>
      </c>
      <c r="H28" s="18"/>
      <c r="I28" s="18"/>
      <c r="J28" s="18"/>
      <c r="K28" s="18"/>
      <c r="L28" s="18"/>
      <c r="M28" s="16"/>
      <c r="N28" s="16" t="str">
        <f t="shared" si="15"/>
        <v/>
      </c>
      <c r="O28" s="4"/>
      <c r="P28" s="13" t="s">
        <v>39</v>
      </c>
      <c r="Q28" s="13" t="s">
        <v>39</v>
      </c>
      <c r="R28" s="22" t="s">
        <v>39</v>
      </c>
      <c r="S28" s="4"/>
      <c r="T28" s="4"/>
      <c r="U28" s="4"/>
      <c r="V28" s="4"/>
      <c r="W28" s="4"/>
      <c r="X28" s="4"/>
      <c r="Y28" s="4"/>
      <c r="Z28" s="4"/>
    </row>
    <row r="29">
      <c r="A29" s="15">
        <f t="shared" si="17"/>
        <v>46131</v>
      </c>
      <c r="B29" s="16" t="str">
        <f t="shared" si="13"/>
        <v>Sun</v>
      </c>
      <c r="C29" s="18"/>
      <c r="D29" s="18"/>
      <c r="E29" s="18"/>
      <c r="F29" s="18"/>
      <c r="G29" s="18" t="str">
        <f>IF(COUNTIF(Holidays!$A$2:$A$12,$A29)&gt;0, 8,"")</f>
        <v/>
      </c>
      <c r="H29" s="18"/>
      <c r="I29" s="18"/>
      <c r="J29" s="18"/>
      <c r="K29" s="18"/>
      <c r="L29" s="18"/>
      <c r="M29" s="16"/>
      <c r="N29" s="16" t="str">
        <f t="shared" si="15"/>
        <v/>
      </c>
      <c r="O29" s="4"/>
      <c r="P29" s="13" t="s">
        <v>39</v>
      </c>
      <c r="Q29" s="13" t="s">
        <v>39</v>
      </c>
      <c r="R29" s="22" t="s">
        <v>39</v>
      </c>
      <c r="S29" s="4"/>
      <c r="T29" s="4"/>
      <c r="U29" s="4"/>
      <c r="V29" s="4"/>
      <c r="W29" s="4"/>
      <c r="X29" s="4"/>
      <c r="Y29" s="4"/>
      <c r="Z29" s="4"/>
    </row>
    <row r="30">
      <c r="A30" s="15">
        <f t="shared" si="17"/>
        <v>46132</v>
      </c>
      <c r="B30" s="16" t="str">
        <f t="shared" si="13"/>
        <v>Mon</v>
      </c>
      <c r="C30" s="17">
        <v>9.0</v>
      </c>
      <c r="D30" s="17"/>
      <c r="E30" s="18"/>
      <c r="F30" s="18"/>
      <c r="G30" s="18" t="str">
        <f>IF(COUNTIF(Holidays!$A$2:$A$12,$A30)&gt;0, 8,"")</f>
        <v/>
      </c>
      <c r="H30" s="18"/>
      <c r="I30" s="18"/>
      <c r="J30" s="18"/>
      <c r="K30" s="18"/>
      <c r="L30" s="18"/>
      <c r="M30" s="16">
        <f t="shared" ref="M30:M34" si="18">sum(C30:L30)</f>
        <v>9</v>
      </c>
      <c r="N30" s="16">
        <f t="shared" si="15"/>
        <v>8</v>
      </c>
      <c r="O30" s="4"/>
      <c r="P30" s="20">
        <v>0.3541666666666667</v>
      </c>
      <c r="Q30" s="19">
        <v>0.7291666666666666</v>
      </c>
      <c r="R30" s="21">
        <f>(Q30-P30)*24</f>
        <v>9</v>
      </c>
      <c r="S30" s="4"/>
      <c r="T30" s="4"/>
      <c r="U30" s="4"/>
      <c r="V30" s="4"/>
      <c r="W30" s="4"/>
      <c r="X30" s="4"/>
      <c r="Y30" s="4"/>
      <c r="Z30" s="4"/>
    </row>
    <row r="31">
      <c r="A31" s="15">
        <f t="shared" si="17"/>
        <v>46133</v>
      </c>
      <c r="B31" s="16" t="str">
        <f t="shared" si="13"/>
        <v>Tue</v>
      </c>
      <c r="C31" s="17">
        <v>7.0</v>
      </c>
      <c r="D31" s="17"/>
      <c r="E31" s="18"/>
      <c r="F31" s="18"/>
      <c r="G31" s="18" t="str">
        <f>IF(COUNTIF(Holidays!$A$2:$A$12,$A31)&gt;0, 8,"")</f>
        <v/>
      </c>
      <c r="H31" s="18"/>
      <c r="I31" s="18"/>
      <c r="J31" s="18"/>
      <c r="K31" s="18"/>
      <c r="L31" s="17">
        <v>0.5</v>
      </c>
      <c r="M31" s="16">
        <f t="shared" si="18"/>
        <v>7.5</v>
      </c>
      <c r="N31" s="16">
        <f t="shared" si="15"/>
        <v>8</v>
      </c>
      <c r="O31" s="4"/>
      <c r="P31" s="20">
        <v>0.40625</v>
      </c>
      <c r="Q31" s="19">
        <v>0.71875</v>
      </c>
      <c r="R31" s="21">
        <f>(Q31-P31)*24+0.5</f>
        <v>8</v>
      </c>
      <c r="S31" s="13">
        <f>0.5</f>
        <v>0.5</v>
      </c>
      <c r="T31" s="4"/>
      <c r="U31" s="4"/>
      <c r="V31" s="4"/>
      <c r="W31" s="4"/>
      <c r="X31" s="4"/>
      <c r="Y31" s="4"/>
      <c r="Z31" s="4"/>
    </row>
    <row r="32">
      <c r="A32" s="15">
        <f t="shared" si="17"/>
        <v>46134</v>
      </c>
      <c r="B32" s="16" t="str">
        <f t="shared" si="13"/>
        <v>Wed</v>
      </c>
      <c r="C32" s="17">
        <v>8.0</v>
      </c>
      <c r="D32" s="17"/>
      <c r="E32" s="18"/>
      <c r="F32" s="18"/>
      <c r="G32" s="18" t="str">
        <f>IF(COUNTIF(Holidays!$A$2:$A$12,$A32)&gt;0, 8,"")</f>
        <v/>
      </c>
      <c r="H32" s="18"/>
      <c r="I32" s="18"/>
      <c r="J32" s="18"/>
      <c r="K32" s="18"/>
      <c r="L32" s="18"/>
      <c r="M32" s="16">
        <f t="shared" si="18"/>
        <v>8</v>
      </c>
      <c r="N32" s="16">
        <f t="shared" si="15"/>
        <v>8</v>
      </c>
      <c r="O32" s="4"/>
      <c r="P32" s="20">
        <v>0.3645833333333333</v>
      </c>
      <c r="Q32" s="19">
        <v>0.6979166666666666</v>
      </c>
      <c r="R32" s="21">
        <f>(Q32-P32)*24</f>
        <v>8</v>
      </c>
      <c r="S32" s="4"/>
      <c r="T32" s="4"/>
      <c r="U32" s="4"/>
      <c r="V32" s="4"/>
      <c r="W32" s="4"/>
      <c r="X32" s="4"/>
      <c r="Y32" s="4"/>
      <c r="Z32" s="4"/>
    </row>
    <row r="33">
      <c r="A33" s="15">
        <f t="shared" si="17"/>
        <v>46135</v>
      </c>
      <c r="B33" s="16" t="str">
        <f t="shared" si="13"/>
        <v>Thu</v>
      </c>
      <c r="C33" s="17">
        <v>6.25</v>
      </c>
      <c r="D33" s="17"/>
      <c r="E33" s="18"/>
      <c r="F33" s="18"/>
      <c r="G33" s="18" t="str">
        <f>IF(COUNTIF(Holidays!$A$2:$A$12,$A33)&gt;0, 8,"")</f>
        <v/>
      </c>
      <c r="H33" s="18"/>
      <c r="I33" s="18"/>
      <c r="J33" s="18"/>
      <c r="K33" s="18"/>
      <c r="L33" s="18"/>
      <c r="M33" s="16">
        <f t="shared" si="18"/>
        <v>6.25</v>
      </c>
      <c r="N33" s="16">
        <f t="shared" si="15"/>
        <v>8</v>
      </c>
      <c r="O33" s="4"/>
      <c r="P33" s="20">
        <v>0.34375</v>
      </c>
      <c r="Q33" s="19">
        <v>0.5416666666666666</v>
      </c>
      <c r="R33" s="21">
        <f>(Q33-P33)*24+1.5</f>
        <v>6.25</v>
      </c>
      <c r="S33" s="4"/>
      <c r="T33" s="4"/>
      <c r="U33" s="4"/>
      <c r="V33" s="4"/>
      <c r="W33" s="4"/>
      <c r="X33" s="4"/>
      <c r="Y33" s="4"/>
      <c r="Z33" s="4"/>
    </row>
    <row r="34">
      <c r="A34" s="15">
        <f t="shared" si="17"/>
        <v>46136</v>
      </c>
      <c r="B34" s="16" t="str">
        <f t="shared" si="13"/>
        <v>Fri</v>
      </c>
      <c r="C34" s="17">
        <v>8.75</v>
      </c>
      <c r="D34" s="17"/>
      <c r="E34" s="18"/>
      <c r="F34" s="18"/>
      <c r="G34" s="18" t="str">
        <f>IF(COUNTIF(Holidays!$A$2:$A$12,$A34)&gt;0, 8,"")</f>
        <v/>
      </c>
      <c r="H34" s="18"/>
      <c r="I34" s="18"/>
      <c r="J34" s="18"/>
      <c r="K34" s="18"/>
      <c r="L34" s="18"/>
      <c r="M34" s="16">
        <f t="shared" si="18"/>
        <v>8.75</v>
      </c>
      <c r="N34" s="16">
        <f t="shared" si="15"/>
        <v>8</v>
      </c>
      <c r="O34" s="4"/>
      <c r="P34" s="20">
        <v>0.3020833333333333</v>
      </c>
      <c r="Q34" s="19">
        <v>0.6666666666666666</v>
      </c>
      <c r="R34" s="21">
        <f>(Q34-P34)*24</f>
        <v>8.75</v>
      </c>
      <c r="S34" s="4"/>
      <c r="T34" s="4"/>
      <c r="U34" s="4"/>
      <c r="V34" s="4"/>
      <c r="W34" s="4"/>
      <c r="X34" s="4"/>
      <c r="Y34" s="4"/>
      <c r="Z34" s="4"/>
    </row>
    <row r="35">
      <c r="A35" s="15">
        <f t="shared" si="17"/>
        <v>46137</v>
      </c>
      <c r="B35" s="16" t="str">
        <f t="shared" si="13"/>
        <v>Sat</v>
      </c>
      <c r="C35" s="18"/>
      <c r="D35" s="18"/>
      <c r="E35" s="18"/>
      <c r="F35" s="18"/>
      <c r="G35" s="18" t="str">
        <f>IF(COUNTIF(Holidays!$A$2:$A$12,$A35)&gt;0, 8,"")</f>
        <v/>
      </c>
      <c r="H35" s="18"/>
      <c r="I35" s="18"/>
      <c r="J35" s="18"/>
      <c r="K35" s="18"/>
      <c r="L35" s="18"/>
      <c r="M35" s="16"/>
      <c r="N35" s="16" t="str">
        <f t="shared" si="15"/>
        <v/>
      </c>
      <c r="O35" s="4"/>
      <c r="P35" s="13" t="s">
        <v>39</v>
      </c>
      <c r="Q35" s="13" t="s">
        <v>39</v>
      </c>
      <c r="R35" s="22" t="s">
        <v>39</v>
      </c>
      <c r="S35" s="4"/>
      <c r="T35" s="4"/>
      <c r="U35" s="4"/>
      <c r="V35" s="4"/>
      <c r="W35" s="4"/>
      <c r="X35" s="4"/>
      <c r="Y35" s="4"/>
      <c r="Z35" s="4"/>
    </row>
    <row r="36">
      <c r="A36" s="15">
        <f t="shared" si="17"/>
        <v>46138</v>
      </c>
      <c r="B36" s="16" t="str">
        <f t="shared" si="13"/>
        <v>Sun</v>
      </c>
      <c r="C36" s="17"/>
      <c r="D36" s="18"/>
      <c r="E36" s="18"/>
      <c r="F36" s="18"/>
      <c r="G36" s="18" t="str">
        <f>IF(COUNTIF(Holidays!$A$2:$A$12,$A36)&gt;0, 8,"")</f>
        <v/>
      </c>
      <c r="H36" s="18"/>
      <c r="I36" s="18"/>
      <c r="J36" s="18"/>
      <c r="K36" s="18"/>
      <c r="L36" s="18"/>
      <c r="M36" s="16"/>
      <c r="N36" s="16" t="str">
        <f t="shared" si="15"/>
        <v/>
      </c>
      <c r="O36" s="4"/>
      <c r="P36" s="13" t="s">
        <v>39</v>
      </c>
      <c r="Q36" s="13" t="s">
        <v>39</v>
      </c>
      <c r="R36" s="22" t="s">
        <v>39</v>
      </c>
      <c r="S36" s="4"/>
      <c r="T36" s="4"/>
      <c r="U36" s="4"/>
      <c r="V36" s="4"/>
      <c r="W36" s="4"/>
      <c r="X36" s="4"/>
      <c r="Y36" s="4"/>
      <c r="Z36" s="4"/>
    </row>
    <row r="37">
      <c r="A37" s="15">
        <f t="shared" si="17"/>
        <v>46139</v>
      </c>
      <c r="B37" s="16" t="str">
        <f t="shared" si="13"/>
        <v>Mon</v>
      </c>
      <c r="C37" s="17">
        <v>8.5</v>
      </c>
      <c r="D37" s="17"/>
      <c r="E37" s="18"/>
      <c r="F37" s="18"/>
      <c r="G37" s="18" t="str">
        <f>IF(COUNTIF(Holidays!$A$2:$A$12,$A37)&gt;0, 8,"")</f>
        <v/>
      </c>
      <c r="H37" s="18"/>
      <c r="I37" s="18"/>
      <c r="J37" s="18"/>
      <c r="K37" s="18"/>
      <c r="L37" s="18"/>
      <c r="M37" s="16">
        <f t="shared" ref="M37:M40" si="19">sum(C37:L37)</f>
        <v>8.5</v>
      </c>
      <c r="N37" s="16">
        <f t="shared" si="15"/>
        <v>8</v>
      </c>
      <c r="O37" s="4"/>
      <c r="P37" s="20">
        <v>0.34375</v>
      </c>
      <c r="Q37" s="19">
        <v>0.6979166666666666</v>
      </c>
      <c r="R37" s="21">
        <f t="shared" ref="R37:R40" si="20">(Q37-P37)*24</f>
        <v>8.5</v>
      </c>
      <c r="S37" s="4"/>
      <c r="T37" s="4"/>
      <c r="U37" s="4"/>
      <c r="V37" s="4"/>
      <c r="W37" s="4"/>
      <c r="X37" s="4"/>
      <c r="Y37" s="4"/>
      <c r="Z37" s="4"/>
    </row>
    <row r="38">
      <c r="A38" s="15">
        <f t="shared" si="17"/>
        <v>46140</v>
      </c>
      <c r="B38" s="16" t="str">
        <f t="shared" si="13"/>
        <v>Tue</v>
      </c>
      <c r="C38" s="17">
        <v>8.0</v>
      </c>
      <c r="D38" s="17"/>
      <c r="E38" s="18"/>
      <c r="F38" s="18"/>
      <c r="G38" s="18" t="str">
        <f>IF(COUNTIF(Holidays!$A$2:$A$12,$A38)&gt;0, 8,"")</f>
        <v/>
      </c>
      <c r="H38" s="18"/>
      <c r="I38" s="18"/>
      <c r="J38" s="18"/>
      <c r="K38" s="18"/>
      <c r="L38" s="18"/>
      <c r="M38" s="16">
        <f t="shared" si="19"/>
        <v>8</v>
      </c>
      <c r="N38" s="16">
        <f t="shared" si="15"/>
        <v>8</v>
      </c>
      <c r="O38" s="4"/>
      <c r="P38" s="20">
        <v>0.375</v>
      </c>
      <c r="Q38" s="19">
        <v>0.7083333333333334</v>
      </c>
      <c r="R38" s="21">
        <f t="shared" si="20"/>
        <v>8</v>
      </c>
      <c r="S38" s="4"/>
      <c r="T38" s="4"/>
      <c r="U38" s="4"/>
      <c r="V38" s="4"/>
      <c r="W38" s="4"/>
      <c r="X38" s="4"/>
      <c r="Y38" s="4"/>
      <c r="Z38" s="4"/>
    </row>
    <row r="39">
      <c r="A39" s="15">
        <f t="shared" si="17"/>
        <v>46141</v>
      </c>
      <c r="B39" s="16" t="str">
        <f t="shared" si="13"/>
        <v>Wed</v>
      </c>
      <c r="C39" s="17">
        <v>8.0</v>
      </c>
      <c r="D39" s="17"/>
      <c r="E39" s="18"/>
      <c r="F39" s="18"/>
      <c r="G39" s="18" t="str">
        <f>IF(COUNTIF(Holidays!$A$2:$A$12,$A39)&gt;0, 8,"")</f>
        <v/>
      </c>
      <c r="H39" s="18"/>
      <c r="I39" s="18"/>
      <c r="J39" s="18"/>
      <c r="K39" s="18"/>
      <c r="L39" s="18"/>
      <c r="M39" s="16">
        <f t="shared" si="19"/>
        <v>8</v>
      </c>
      <c r="N39" s="16">
        <f t="shared" si="15"/>
        <v>8</v>
      </c>
      <c r="O39" s="4"/>
      <c r="P39" s="20">
        <v>0.3541666666666667</v>
      </c>
      <c r="Q39" s="19">
        <v>0.6875</v>
      </c>
      <c r="R39" s="21">
        <f t="shared" si="20"/>
        <v>8</v>
      </c>
      <c r="S39" s="4"/>
      <c r="T39" s="4"/>
      <c r="U39" s="4"/>
      <c r="V39" s="4"/>
      <c r="W39" s="4"/>
      <c r="X39" s="4"/>
      <c r="Y39" s="4"/>
      <c r="Z39" s="4"/>
    </row>
    <row r="40">
      <c r="A40" s="15">
        <f t="shared" si="17"/>
        <v>46142</v>
      </c>
      <c r="B40" s="16" t="str">
        <f t="shared" si="13"/>
        <v>Thu</v>
      </c>
      <c r="C40" s="17">
        <v>8.0</v>
      </c>
      <c r="D40" s="17"/>
      <c r="E40" s="18"/>
      <c r="F40" s="18"/>
      <c r="G40" s="18" t="str">
        <f>IF(COUNTIF(Holidays!$A$2:$A$12,$A40)&gt;0, 8,"")</f>
        <v/>
      </c>
      <c r="H40" s="18"/>
      <c r="I40" s="18"/>
      <c r="J40" s="18"/>
      <c r="K40" s="18"/>
      <c r="L40" s="18"/>
      <c r="M40" s="16">
        <f t="shared" si="19"/>
        <v>8</v>
      </c>
      <c r="N40" s="16">
        <f t="shared" si="15"/>
        <v>8</v>
      </c>
      <c r="O40" s="4"/>
      <c r="P40" s="20">
        <v>0.375</v>
      </c>
      <c r="Q40" s="19">
        <v>0.7083333333333334</v>
      </c>
      <c r="R40" s="21">
        <f t="shared" si="20"/>
        <v>8</v>
      </c>
      <c r="S40" s="4"/>
      <c r="T40" s="4"/>
      <c r="U40" s="4"/>
      <c r="V40" s="4"/>
      <c r="W40" s="4"/>
      <c r="X40" s="4"/>
      <c r="Y40" s="4"/>
      <c r="Z40" s="4"/>
    </row>
    <row r="41">
      <c r="A41" s="16"/>
      <c r="B41" s="16"/>
      <c r="C41" s="18"/>
      <c r="D41" s="18"/>
      <c r="E41" s="18"/>
      <c r="F41" s="18"/>
      <c r="G41" s="18" t="str">
        <f>IF(COUNTIF(Holidays!$A$2:$A$12,$A41)&gt;0, 8,"")</f>
        <v/>
      </c>
      <c r="H41" s="18"/>
      <c r="I41" s="18"/>
      <c r="J41" s="18"/>
      <c r="K41" s="18"/>
      <c r="L41" s="18"/>
      <c r="M41" s="16"/>
      <c r="N41" s="16"/>
      <c r="O41" s="4"/>
      <c r="P41" s="4"/>
      <c r="Q41" s="4"/>
      <c r="S41" s="4"/>
      <c r="T41" s="4"/>
      <c r="U41" s="4"/>
      <c r="V41" s="4"/>
      <c r="W41" s="4"/>
      <c r="X41" s="4"/>
      <c r="Y41" s="4"/>
      <c r="Z41" s="4"/>
    </row>
    <row r="42">
      <c r="A42" s="2" t="s">
        <v>47</v>
      </c>
      <c r="C42" s="14">
        <f t="shared" ref="C42:N42" si="21">sum(C26:C41)</f>
        <v>87.5</v>
      </c>
      <c r="D42" s="14">
        <f t="shared" si="21"/>
        <v>1.25</v>
      </c>
      <c r="E42" s="14">
        <f t="shared" si="21"/>
        <v>0</v>
      </c>
      <c r="F42" s="14">
        <f t="shared" si="21"/>
        <v>0</v>
      </c>
      <c r="G42" s="14">
        <f t="shared" si="21"/>
        <v>0</v>
      </c>
      <c r="H42" s="14">
        <f t="shared" si="21"/>
        <v>0</v>
      </c>
      <c r="I42" s="14">
        <f t="shared" si="21"/>
        <v>0</v>
      </c>
      <c r="J42" s="14">
        <f t="shared" si="21"/>
        <v>0</v>
      </c>
      <c r="K42" s="14">
        <f t="shared" si="21"/>
        <v>0</v>
      </c>
      <c r="L42" s="14">
        <f t="shared" si="21"/>
        <v>0.5</v>
      </c>
      <c r="M42" s="14">
        <f t="shared" si="21"/>
        <v>89.25</v>
      </c>
      <c r="N42" s="14">
        <f t="shared" si="21"/>
        <v>88</v>
      </c>
      <c r="O42" s="4"/>
      <c r="P42" s="4"/>
      <c r="Q42" s="4"/>
      <c r="R42" s="24">
        <f>sum(R25:R40)</f>
        <v>89.75</v>
      </c>
      <c r="S42" s="4"/>
      <c r="T42" s="4"/>
      <c r="U42" s="4"/>
      <c r="V42" s="4"/>
      <c r="W42" s="4"/>
      <c r="X42" s="4"/>
      <c r="Y42" s="4"/>
      <c r="Z42" s="4"/>
    </row>
    <row r="43">
      <c r="A43" s="4"/>
      <c r="B43" s="4"/>
      <c r="C43" s="4"/>
      <c r="D43" s="4"/>
      <c r="E43" s="4"/>
      <c r="F43" s="4"/>
      <c r="G43" s="4"/>
      <c r="H43" s="4"/>
      <c r="I43" s="4"/>
      <c r="J43" s="4"/>
      <c r="K43" s="4"/>
      <c r="L43" s="4"/>
      <c r="M43" s="4"/>
      <c r="N43" s="4"/>
      <c r="O43" s="4"/>
      <c r="S43" s="4"/>
      <c r="T43" s="4"/>
      <c r="U43" s="4"/>
      <c r="V43" s="4"/>
      <c r="W43" s="4"/>
      <c r="X43" s="4"/>
      <c r="Y43" s="4"/>
      <c r="Z43" s="4"/>
    </row>
    <row r="44">
      <c r="A44" s="4"/>
      <c r="B44" s="4"/>
      <c r="C44" s="4"/>
      <c r="D44" s="4"/>
      <c r="E44" s="4"/>
      <c r="F44" s="4"/>
      <c r="G44" s="4"/>
      <c r="H44" s="4"/>
      <c r="I44" s="4"/>
      <c r="J44" s="4"/>
      <c r="K44" s="4"/>
      <c r="L44" s="4"/>
      <c r="M44" s="4"/>
      <c r="N44" s="4"/>
      <c r="O44" s="4"/>
      <c r="P44" s="4"/>
      <c r="Q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4">
    <mergeCell ref="M2:N2"/>
    <mergeCell ref="P2:Q2"/>
    <mergeCell ref="A22:B22"/>
    <mergeCell ref="A42:B42"/>
  </mergeCells>
  <conditionalFormatting sqref="C7:L21 C26:L41">
    <cfRule type="expression" dxfId="0" priority="1">
      <formula>OR($B7="Sat", $B7="Sun")</formula>
    </cfRule>
  </conditionalFormatting>
  <conditionalFormatting sqref="C7:L21 C26:L41">
    <cfRule type="notContainsBlanks" dxfId="1" priority="2">
      <formula>LEN(TRIM(C7))&gt;0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s>
  <sheetData>
    <row r="1">
      <c r="A1" s="2" t="s">
        <v>22</v>
      </c>
      <c r="B1" s="2" t="s">
        <v>4</v>
      </c>
      <c r="C1" s="2" t="s">
        <v>6</v>
      </c>
      <c r="D1" s="2" t="s">
        <v>7</v>
      </c>
      <c r="E1" s="2" t="s">
        <v>9</v>
      </c>
      <c r="F1" s="4"/>
      <c r="I1" s="4"/>
      <c r="J1" s="4"/>
      <c r="K1" s="4"/>
      <c r="L1" s="4"/>
      <c r="M1" s="4"/>
      <c r="N1" s="4"/>
      <c r="O1" s="4"/>
      <c r="P1" s="4"/>
      <c r="Q1" s="4"/>
      <c r="R1" s="4"/>
      <c r="S1" s="4"/>
      <c r="T1" s="4"/>
      <c r="U1" s="4"/>
      <c r="V1" s="4"/>
      <c r="W1" s="4"/>
      <c r="X1" s="4"/>
      <c r="Y1" s="4"/>
      <c r="Z1" s="4"/>
    </row>
    <row r="2">
      <c r="A2" s="8" t="s">
        <v>13</v>
      </c>
      <c r="B2" s="12">
        <f t="array" ref="B2">INDIRECT(TEXT(EDATE(DATE(2026, MATCH($A$1, {"January","February","March","April","May","June","July","August","September","October","November","December"}, 0), 1), -1), "mmm") &amp; " 26!B4")</f>
        <v>61.5</v>
      </c>
      <c r="C2" s="12">
        <f t="array" ref="C2">INDIRECT(TEXT(EDATE(DATE(2026, MATCH($A$1, {"January","February","March","April","May","June","July","August","September","October","November","December"}, 0), 1), -1), "mmm") &amp; " 26!C4")</f>
        <v>2.25</v>
      </c>
      <c r="D2" s="12">
        <f t="array" ref="D2">INDIRECT(TEXT(EDATE(DATE(2026, MATCH($A$1, {"January","February","March","April","May","June","July","August","September","October","November","December"}, 0), 1), -1), "mmm") &amp; " 26!D4")</f>
        <v>8</v>
      </c>
      <c r="E2" s="12">
        <f t="array" ref="E2">INDIRECT(TEXT(EDATE(DATE(2026, MATCH($A$1, {"January","February","March","April","May","June","July","August","September","October","November","December"}, 0), 1), -1), "mmm") &amp; " 26!E4")</f>
        <v>40</v>
      </c>
      <c r="F2" s="4"/>
      <c r="G2" s="2" t="s">
        <v>8</v>
      </c>
      <c r="H2" s="12">
        <f>'START HERE'!B6</f>
        <v>5</v>
      </c>
      <c r="I2" s="4"/>
      <c r="J2" s="4"/>
      <c r="K2" s="4"/>
      <c r="L2" s="4"/>
      <c r="M2" s="13"/>
      <c r="O2" s="4"/>
      <c r="P2" s="13"/>
      <c r="R2" s="4"/>
      <c r="S2" s="4"/>
      <c r="T2" s="4"/>
      <c r="U2" s="4"/>
      <c r="V2" s="4"/>
      <c r="W2" s="4"/>
      <c r="X2" s="4"/>
      <c r="Y2" s="4"/>
      <c r="Z2" s="4"/>
    </row>
    <row r="3">
      <c r="A3" s="8" t="s">
        <v>23</v>
      </c>
      <c r="B3" s="12">
        <f>B2+H2-F22</f>
        <v>66.5</v>
      </c>
      <c r="C3" s="12">
        <f>C2+D22-E22</f>
        <v>2.25</v>
      </c>
      <c r="D3" s="12">
        <f t="shared" ref="D3:E3" si="1">D2-I22</f>
        <v>8</v>
      </c>
      <c r="E3" s="12">
        <f t="shared" si="1"/>
        <v>40</v>
      </c>
      <c r="F3" s="4"/>
      <c r="G3" s="4"/>
      <c r="H3" s="4"/>
      <c r="I3" s="4"/>
      <c r="J3" s="4"/>
      <c r="K3" s="4"/>
      <c r="L3" s="4"/>
      <c r="M3" s="4"/>
      <c r="N3" s="4"/>
      <c r="O3" s="4"/>
      <c r="P3" s="4"/>
      <c r="Q3" s="4"/>
      <c r="R3" s="4"/>
      <c r="S3" s="4"/>
      <c r="T3" s="4"/>
      <c r="U3" s="4"/>
      <c r="V3" s="4"/>
      <c r="W3" s="4"/>
      <c r="X3" s="4"/>
      <c r="Y3" s="4"/>
      <c r="Z3" s="4"/>
    </row>
    <row r="4">
      <c r="A4" s="8" t="s">
        <v>25</v>
      </c>
      <c r="B4" s="12">
        <f>B3+H2-F42</f>
        <v>71.5</v>
      </c>
      <c r="C4" s="12">
        <f>C3+D42-E42</f>
        <v>5.25</v>
      </c>
      <c r="D4" s="12">
        <f t="shared" ref="D4:E4" si="2">D3-I42</f>
        <v>8</v>
      </c>
      <c r="E4" s="12">
        <f t="shared" si="2"/>
        <v>40</v>
      </c>
      <c r="F4" s="4"/>
      <c r="G4" s="4"/>
      <c r="H4" s="4"/>
      <c r="I4" s="4"/>
      <c r="J4" s="4"/>
      <c r="K4" s="4"/>
      <c r="L4" s="4"/>
      <c r="M4" s="4"/>
      <c r="N4" s="4"/>
      <c r="O4" s="4"/>
      <c r="P4" s="4"/>
      <c r="Q4" s="4"/>
      <c r="R4" s="4"/>
      <c r="S4" s="4"/>
      <c r="T4" s="4"/>
      <c r="U4" s="4"/>
      <c r="V4" s="4"/>
      <c r="W4" s="4"/>
      <c r="X4" s="4"/>
      <c r="Y4" s="4"/>
      <c r="Z4" s="4"/>
    </row>
    <row r="5">
      <c r="A5" s="4"/>
      <c r="B5" s="4"/>
      <c r="C5" s="4"/>
      <c r="D5" s="4"/>
      <c r="E5" s="4"/>
      <c r="F5" s="4"/>
      <c r="G5" s="4"/>
      <c r="H5" s="4"/>
      <c r="I5" s="4"/>
      <c r="J5" s="4"/>
      <c r="K5" s="4"/>
      <c r="L5" s="4"/>
      <c r="M5" s="4"/>
      <c r="N5" s="4"/>
      <c r="O5" s="4"/>
      <c r="P5" s="13" t="s">
        <v>26</v>
      </c>
      <c r="Q5" s="13" t="s">
        <v>27</v>
      </c>
      <c r="R5" s="13" t="s">
        <v>28</v>
      </c>
      <c r="S5" s="4"/>
      <c r="T5" s="13"/>
      <c r="U5" s="13"/>
      <c r="V5" s="13"/>
      <c r="W5" s="4"/>
      <c r="X5" s="4"/>
      <c r="Y5" s="4"/>
      <c r="Z5" s="4"/>
    </row>
    <row r="6">
      <c r="A6" s="2" t="s">
        <v>29</v>
      </c>
      <c r="B6" s="2" t="s">
        <v>30</v>
      </c>
      <c r="C6" s="14" t="str">
        <f t="array" ref="C6:L6">TRANSPOSE('Time Types'!A2:A11)</f>
        <v>Regular</v>
      </c>
      <c r="D6" s="14" t="s">
        <v>31</v>
      </c>
      <c r="E6" s="14" t="s">
        <v>32</v>
      </c>
      <c r="F6" s="14" t="s">
        <v>12</v>
      </c>
      <c r="G6" s="14" t="s">
        <v>33</v>
      </c>
      <c r="H6" s="14" t="s">
        <v>34</v>
      </c>
      <c r="I6" s="14" t="s">
        <v>14</v>
      </c>
      <c r="J6" s="14" t="s">
        <v>16</v>
      </c>
      <c r="K6" s="14" t="s">
        <v>35</v>
      </c>
      <c r="L6" s="14" t="s">
        <v>36</v>
      </c>
      <c r="M6" s="2" t="s">
        <v>37</v>
      </c>
      <c r="N6" s="2" t="s">
        <v>38</v>
      </c>
      <c r="O6" s="4"/>
      <c r="P6" s="4"/>
      <c r="Q6" s="4"/>
      <c r="R6" s="4"/>
      <c r="S6" s="4"/>
      <c r="T6" s="4"/>
      <c r="U6" s="4"/>
      <c r="V6" s="4"/>
      <c r="W6" s="4"/>
      <c r="X6" s="4"/>
      <c r="Y6" s="4"/>
      <c r="Z6" s="4"/>
    </row>
    <row r="7">
      <c r="A7" s="15">
        <f>DATE(2026, MONTH(DATEVALUE($A$1 &amp; " 1")), 1)</f>
        <v>46143</v>
      </c>
      <c r="B7" s="16" t="str">
        <f t="shared" ref="B7:B21" si="3">text(A7,"ddd")</f>
        <v>Fri</v>
      </c>
      <c r="C7" s="17">
        <v>7.0</v>
      </c>
      <c r="D7" s="17"/>
      <c r="E7" s="18"/>
      <c r="F7" s="18"/>
      <c r="G7" s="18" t="str">
        <f>IF(COUNTIF(Holidays!$A$2:$A$12,$A7)&gt;0, 8,"")</f>
        <v/>
      </c>
      <c r="H7" s="18"/>
      <c r="I7" s="18"/>
      <c r="J7" s="18"/>
      <c r="K7" s="18"/>
      <c r="L7" s="18"/>
      <c r="M7" s="16">
        <f t="shared" ref="M7:M21" si="4">IF(OR(B7="Sat", B7="Sun"), "", sum(C7:J7))</f>
        <v>7</v>
      </c>
      <c r="N7" s="16">
        <f t="shared" ref="N7:N21" si="5">IF(OR(B7="Sat", B7="Sun"), "", 8)</f>
        <v>8</v>
      </c>
      <c r="O7" s="4"/>
      <c r="P7" s="19">
        <v>0.3854166666666667</v>
      </c>
      <c r="Q7" s="20">
        <v>0.6770833333333334</v>
      </c>
      <c r="R7" s="21">
        <f>(Q7-P7)*24</f>
        <v>7</v>
      </c>
      <c r="S7" s="4"/>
      <c r="T7" s="19"/>
      <c r="U7" s="20"/>
      <c r="V7" s="21"/>
      <c r="W7" s="4"/>
      <c r="X7" s="4"/>
      <c r="Y7" s="4"/>
      <c r="Z7" s="4"/>
    </row>
    <row r="8">
      <c r="A8" s="15">
        <f t="shared" ref="A8:A21" si="6">A7+1</f>
        <v>46144</v>
      </c>
      <c r="B8" s="16" t="str">
        <f t="shared" si="3"/>
        <v>Sat</v>
      </c>
      <c r="C8" s="17"/>
      <c r="D8" s="18"/>
      <c r="E8" s="18"/>
      <c r="F8" s="18"/>
      <c r="G8" s="18" t="str">
        <f>IF(COUNTIF(Holidays!$A$2:$A$12,$A8)&gt;0, 8,"")</f>
        <v/>
      </c>
      <c r="H8" s="18"/>
      <c r="I8" s="18"/>
      <c r="J8" s="18"/>
      <c r="K8" s="18"/>
      <c r="L8" s="18"/>
      <c r="M8" s="16" t="str">
        <f t="shared" si="4"/>
        <v/>
      </c>
      <c r="N8" s="16" t="str">
        <f t="shared" si="5"/>
        <v/>
      </c>
      <c r="O8" s="4"/>
      <c r="P8" s="13" t="s">
        <v>39</v>
      </c>
      <c r="Q8" s="13" t="s">
        <v>39</v>
      </c>
      <c r="R8" s="13" t="s">
        <v>39</v>
      </c>
      <c r="S8" s="4"/>
      <c r="T8" s="13"/>
      <c r="U8" s="13"/>
      <c r="V8" s="13"/>
      <c r="W8" s="4"/>
      <c r="X8" s="4"/>
      <c r="Y8" s="4"/>
      <c r="Z8" s="4"/>
    </row>
    <row r="9">
      <c r="A9" s="15">
        <f t="shared" si="6"/>
        <v>46145</v>
      </c>
      <c r="B9" s="16" t="str">
        <f t="shared" si="3"/>
        <v>Sun</v>
      </c>
      <c r="C9" s="18"/>
      <c r="D9" s="18"/>
      <c r="E9" s="18"/>
      <c r="F9" s="18"/>
      <c r="G9" s="18" t="str">
        <f>IF(COUNTIF(Holidays!$A$2:$A$12,$A9)&gt;0, 8,"")</f>
        <v/>
      </c>
      <c r="H9" s="18"/>
      <c r="I9" s="18"/>
      <c r="J9" s="18"/>
      <c r="K9" s="18"/>
      <c r="L9" s="18"/>
      <c r="M9" s="16" t="str">
        <f t="shared" si="4"/>
        <v/>
      </c>
      <c r="N9" s="16" t="str">
        <f t="shared" si="5"/>
        <v/>
      </c>
      <c r="O9" s="4"/>
      <c r="P9" s="13" t="s">
        <v>39</v>
      </c>
      <c r="Q9" s="13" t="s">
        <v>39</v>
      </c>
      <c r="R9" s="13" t="s">
        <v>39</v>
      </c>
      <c r="S9" s="4"/>
      <c r="T9" s="13"/>
      <c r="U9" s="13"/>
      <c r="V9" s="13"/>
      <c r="W9" s="4"/>
      <c r="X9" s="4"/>
      <c r="Y9" s="4"/>
      <c r="Z9" s="4"/>
    </row>
    <row r="10">
      <c r="A10" s="15">
        <f t="shared" si="6"/>
        <v>46146</v>
      </c>
      <c r="B10" s="16" t="str">
        <f t="shared" si="3"/>
        <v>Mon</v>
      </c>
      <c r="C10" s="17">
        <v>8.5</v>
      </c>
      <c r="D10" s="17"/>
      <c r="E10" s="18"/>
      <c r="F10" s="18"/>
      <c r="G10" s="18" t="str">
        <f>IF(COUNTIF(Holidays!$A$2:$A$12,$A10)&gt;0, 8,"")</f>
        <v/>
      </c>
      <c r="H10" s="18"/>
      <c r="I10" s="18"/>
      <c r="J10" s="18"/>
      <c r="K10" s="18"/>
      <c r="L10" s="18"/>
      <c r="M10" s="16">
        <f t="shared" si="4"/>
        <v>8.5</v>
      </c>
      <c r="N10" s="16">
        <f t="shared" si="5"/>
        <v>8</v>
      </c>
      <c r="O10" s="4"/>
      <c r="P10" s="20">
        <v>0.34375</v>
      </c>
      <c r="Q10" s="20">
        <v>0.7083333333333334</v>
      </c>
      <c r="R10" s="21">
        <f t="shared" ref="R10:R11" si="7">(Q10-P10)*24</f>
        <v>8.75</v>
      </c>
      <c r="S10" s="4"/>
      <c r="T10" s="20"/>
      <c r="U10" s="20"/>
      <c r="V10" s="21"/>
      <c r="W10" s="4"/>
      <c r="X10" s="4"/>
      <c r="Y10" s="4"/>
      <c r="Z10" s="4"/>
    </row>
    <row r="11">
      <c r="A11" s="15">
        <f t="shared" si="6"/>
        <v>46147</v>
      </c>
      <c r="B11" s="16" t="str">
        <f t="shared" si="3"/>
        <v>Tue</v>
      </c>
      <c r="C11" s="17">
        <v>9.0</v>
      </c>
      <c r="D11" s="17"/>
      <c r="E11" s="18"/>
      <c r="F11" s="18"/>
      <c r="G11" s="18" t="str">
        <f>IF(COUNTIF(Holidays!$A$2:$A$12,$A11)&gt;0, 8,"")</f>
        <v/>
      </c>
      <c r="H11" s="18"/>
      <c r="I11" s="18"/>
      <c r="J11" s="18"/>
      <c r="K11" s="18"/>
      <c r="L11" s="18"/>
      <c r="M11" s="16">
        <f t="shared" si="4"/>
        <v>9</v>
      </c>
      <c r="N11" s="16">
        <f t="shared" si="5"/>
        <v>8</v>
      </c>
      <c r="O11" s="4"/>
      <c r="P11" s="20">
        <v>0.3541666666666667</v>
      </c>
      <c r="Q11" s="20">
        <v>0.7291666666666666</v>
      </c>
      <c r="R11" s="21">
        <f t="shared" si="7"/>
        <v>9</v>
      </c>
      <c r="S11" s="4"/>
      <c r="T11" s="20"/>
      <c r="U11" s="20"/>
      <c r="V11" s="21"/>
      <c r="W11" s="4"/>
      <c r="X11" s="4"/>
      <c r="Y11" s="4"/>
      <c r="Z11" s="4"/>
    </row>
    <row r="12">
      <c r="A12" s="15">
        <f t="shared" si="6"/>
        <v>46148</v>
      </c>
      <c r="B12" s="16" t="str">
        <f t="shared" si="3"/>
        <v>Wed</v>
      </c>
      <c r="C12" s="17">
        <v>8.0</v>
      </c>
      <c r="D12" s="17"/>
      <c r="E12" s="18"/>
      <c r="F12" s="18"/>
      <c r="G12" s="18" t="str">
        <f>IF(COUNTIF(Holidays!$A$2:$A$12,$A12)&gt;0, 8,"")</f>
        <v/>
      </c>
      <c r="H12" s="18"/>
      <c r="I12" s="18"/>
      <c r="J12" s="18"/>
      <c r="K12" s="18"/>
      <c r="L12" s="18"/>
      <c r="M12" s="16">
        <f t="shared" si="4"/>
        <v>8</v>
      </c>
      <c r="N12" s="16">
        <f t="shared" si="5"/>
        <v>8</v>
      </c>
      <c r="O12" s="4"/>
      <c r="P12" s="20">
        <v>0.3333333333333333</v>
      </c>
      <c r="Q12" s="20">
        <v>0.7083333333333334</v>
      </c>
      <c r="R12" s="21">
        <f>(Q12-P12)*24-1</f>
        <v>8</v>
      </c>
      <c r="S12" s="4"/>
      <c r="T12" s="20"/>
      <c r="U12" s="20"/>
      <c r="V12" s="21"/>
      <c r="W12" s="4"/>
      <c r="X12" s="4"/>
      <c r="Y12" s="4"/>
      <c r="Z12" s="4"/>
    </row>
    <row r="13">
      <c r="A13" s="15">
        <f t="shared" si="6"/>
        <v>46149</v>
      </c>
      <c r="B13" s="16" t="str">
        <f t="shared" si="3"/>
        <v>Thu</v>
      </c>
      <c r="C13" s="17">
        <v>8.5</v>
      </c>
      <c r="D13" s="17"/>
      <c r="E13" s="18"/>
      <c r="F13" s="18"/>
      <c r="G13" s="18" t="str">
        <f>IF(COUNTIF(Holidays!$A$2:$A$12,$A13)&gt;0, 8,"")</f>
        <v/>
      </c>
      <c r="H13" s="18"/>
      <c r="I13" s="18"/>
      <c r="J13" s="18"/>
      <c r="K13" s="18"/>
      <c r="L13" s="18"/>
      <c r="M13" s="16">
        <f t="shared" si="4"/>
        <v>8.5</v>
      </c>
      <c r="N13" s="16">
        <f t="shared" si="5"/>
        <v>8</v>
      </c>
      <c r="O13" s="4"/>
      <c r="P13" s="20">
        <v>0.3645833333333333</v>
      </c>
      <c r="Q13" s="20">
        <v>0.7083333333333334</v>
      </c>
      <c r="R13" s="21">
        <f t="shared" ref="R13:R14" si="8">(Q13-P13)*24</f>
        <v>8.25</v>
      </c>
      <c r="S13" s="4"/>
      <c r="T13" s="20"/>
      <c r="U13" s="20"/>
      <c r="V13" s="21"/>
      <c r="W13" s="4"/>
      <c r="X13" s="4"/>
      <c r="Y13" s="4"/>
      <c r="Z13" s="4"/>
    </row>
    <row r="14">
      <c r="A14" s="15">
        <f t="shared" si="6"/>
        <v>46150</v>
      </c>
      <c r="B14" s="16" t="str">
        <f t="shared" si="3"/>
        <v>Fri</v>
      </c>
      <c r="C14" s="17">
        <v>4.0</v>
      </c>
      <c r="D14" s="17"/>
      <c r="E14" s="18"/>
      <c r="F14" s="18"/>
      <c r="G14" s="18" t="str">
        <f>IF(COUNTIF(Holidays!$A$2:$A$12,$A14)&gt;0, 8,"")</f>
        <v/>
      </c>
      <c r="H14" s="18"/>
      <c r="I14" s="18"/>
      <c r="J14" s="18"/>
      <c r="K14" s="18"/>
      <c r="L14" s="18"/>
      <c r="M14" s="16">
        <f t="shared" si="4"/>
        <v>4</v>
      </c>
      <c r="N14" s="16">
        <f t="shared" si="5"/>
        <v>8</v>
      </c>
      <c r="O14" s="4"/>
      <c r="P14" s="20">
        <v>0.3333333333333333</v>
      </c>
      <c r="Q14" s="19">
        <v>0.5</v>
      </c>
      <c r="R14" s="21">
        <f t="shared" si="8"/>
        <v>4</v>
      </c>
      <c r="S14" s="4"/>
      <c r="T14" s="20"/>
      <c r="U14" s="19"/>
      <c r="V14" s="21"/>
      <c r="W14" s="4"/>
      <c r="X14" s="4"/>
      <c r="Y14" s="4"/>
      <c r="Z14" s="4"/>
    </row>
    <row r="15">
      <c r="A15" s="15">
        <f t="shared" si="6"/>
        <v>46151</v>
      </c>
      <c r="B15" s="16" t="str">
        <f t="shared" si="3"/>
        <v>Sat</v>
      </c>
      <c r="C15" s="17"/>
      <c r="D15" s="18"/>
      <c r="E15" s="18"/>
      <c r="F15" s="18"/>
      <c r="G15" s="18" t="str">
        <f>IF(COUNTIF(Holidays!$A$2:$A$12,$A15)&gt;0, 8,"")</f>
        <v/>
      </c>
      <c r="H15" s="18"/>
      <c r="I15" s="18"/>
      <c r="J15" s="18"/>
      <c r="K15" s="18"/>
      <c r="L15" s="18"/>
      <c r="M15" s="16" t="str">
        <f t="shared" si="4"/>
        <v/>
      </c>
      <c r="N15" s="16" t="str">
        <f t="shared" si="5"/>
        <v/>
      </c>
      <c r="O15" s="4"/>
      <c r="P15" s="13" t="s">
        <v>39</v>
      </c>
      <c r="Q15" s="13" t="s">
        <v>39</v>
      </c>
      <c r="R15" s="13" t="s">
        <v>39</v>
      </c>
      <c r="S15" s="4"/>
      <c r="T15" s="13"/>
      <c r="U15" s="13"/>
      <c r="V15" s="13"/>
      <c r="W15" s="4"/>
      <c r="X15" s="4"/>
      <c r="Y15" s="4"/>
      <c r="Z15" s="4"/>
    </row>
    <row r="16">
      <c r="A16" s="15">
        <f t="shared" si="6"/>
        <v>46152</v>
      </c>
      <c r="B16" s="16" t="str">
        <f t="shared" si="3"/>
        <v>Sun</v>
      </c>
      <c r="C16" s="18"/>
      <c r="D16" s="18"/>
      <c r="E16" s="18"/>
      <c r="F16" s="18"/>
      <c r="G16" s="18" t="str">
        <f>IF(COUNTIF(Holidays!$A$2:$A$12,$A16)&gt;0, 8,"")</f>
        <v/>
      </c>
      <c r="H16" s="18"/>
      <c r="I16" s="18"/>
      <c r="J16" s="18"/>
      <c r="K16" s="18"/>
      <c r="L16" s="18"/>
      <c r="M16" s="16" t="str">
        <f t="shared" si="4"/>
        <v/>
      </c>
      <c r="N16" s="16" t="str">
        <f t="shared" si="5"/>
        <v/>
      </c>
      <c r="O16" s="4"/>
      <c r="P16" s="13" t="s">
        <v>39</v>
      </c>
      <c r="Q16" s="13" t="s">
        <v>39</v>
      </c>
      <c r="R16" s="13" t="s">
        <v>39</v>
      </c>
      <c r="S16" s="4"/>
      <c r="T16" s="13"/>
      <c r="U16" s="13"/>
      <c r="V16" s="13"/>
      <c r="W16" s="4"/>
      <c r="X16" s="4"/>
      <c r="Y16" s="4"/>
      <c r="Z16" s="4"/>
    </row>
    <row r="17">
      <c r="A17" s="15">
        <f t="shared" si="6"/>
        <v>46153</v>
      </c>
      <c r="B17" s="16" t="str">
        <f t="shared" si="3"/>
        <v>Mon</v>
      </c>
      <c r="C17" s="17">
        <v>10.0</v>
      </c>
      <c r="D17" s="17"/>
      <c r="E17" s="18"/>
      <c r="F17" s="18"/>
      <c r="G17" s="18" t="str">
        <f>IF(COUNTIF(Holidays!$A$2:$A$12,$A17)&gt;0, 8,"")</f>
        <v/>
      </c>
      <c r="H17" s="18"/>
      <c r="I17" s="18"/>
      <c r="J17" s="18"/>
      <c r="K17" s="18"/>
      <c r="L17" s="18"/>
      <c r="M17" s="16">
        <f t="shared" si="4"/>
        <v>10</v>
      </c>
      <c r="N17" s="16">
        <f t="shared" si="5"/>
        <v>8</v>
      </c>
      <c r="O17" s="4"/>
      <c r="P17" s="20">
        <v>0.3229166666666667</v>
      </c>
      <c r="Q17" s="20">
        <v>0.7395833333333334</v>
      </c>
      <c r="R17" s="21">
        <f t="shared" ref="R17:R21" si="9">(Q17-P17)*24</f>
        <v>10</v>
      </c>
      <c r="S17" s="4"/>
      <c r="T17" s="20"/>
      <c r="U17" s="20"/>
      <c r="V17" s="21"/>
      <c r="W17" s="4"/>
      <c r="X17" s="4"/>
      <c r="Y17" s="4"/>
      <c r="Z17" s="4"/>
    </row>
    <row r="18">
      <c r="A18" s="15">
        <f t="shared" si="6"/>
        <v>46154</v>
      </c>
      <c r="B18" s="16" t="str">
        <f t="shared" si="3"/>
        <v>Tue</v>
      </c>
      <c r="C18" s="17">
        <v>8.25</v>
      </c>
      <c r="D18" s="17"/>
      <c r="E18" s="18"/>
      <c r="F18" s="18"/>
      <c r="G18" s="18" t="str">
        <f>IF(COUNTIF(Holidays!$A$2:$A$12,$A18)&gt;0, 8,"")</f>
        <v/>
      </c>
      <c r="H18" s="18"/>
      <c r="I18" s="18"/>
      <c r="J18" s="18"/>
      <c r="K18" s="18"/>
      <c r="L18" s="18"/>
      <c r="M18" s="16">
        <f t="shared" si="4"/>
        <v>8.25</v>
      </c>
      <c r="N18" s="16">
        <f t="shared" si="5"/>
        <v>8</v>
      </c>
      <c r="O18" s="4"/>
      <c r="P18" s="20">
        <v>0.3020833333333333</v>
      </c>
      <c r="Q18" s="20">
        <v>0.6458333333333334</v>
      </c>
      <c r="R18" s="21">
        <f t="shared" si="9"/>
        <v>8.25</v>
      </c>
      <c r="S18" s="4"/>
      <c r="T18" s="20"/>
      <c r="U18" s="20"/>
      <c r="V18" s="21"/>
      <c r="W18" s="4"/>
      <c r="X18" s="4"/>
      <c r="Y18" s="4"/>
      <c r="Z18" s="4"/>
    </row>
    <row r="19">
      <c r="A19" s="15">
        <f t="shared" si="6"/>
        <v>46155</v>
      </c>
      <c r="B19" s="16" t="str">
        <f t="shared" si="3"/>
        <v>Wed</v>
      </c>
      <c r="C19" s="17">
        <v>8.5</v>
      </c>
      <c r="D19" s="17"/>
      <c r="E19" s="18"/>
      <c r="F19" s="18"/>
      <c r="G19" s="18" t="str">
        <f>IF(COUNTIF(Holidays!$A$2:$A$12,$A19)&gt;0, 8,"")</f>
        <v/>
      </c>
      <c r="H19" s="18"/>
      <c r="I19" s="18"/>
      <c r="J19" s="18"/>
      <c r="K19" s="18"/>
      <c r="L19" s="18"/>
      <c r="M19" s="16">
        <f t="shared" si="4"/>
        <v>8.5</v>
      </c>
      <c r="N19" s="16">
        <f t="shared" si="5"/>
        <v>8</v>
      </c>
      <c r="O19" s="4"/>
      <c r="P19" s="20">
        <v>0.34375</v>
      </c>
      <c r="Q19" s="20">
        <v>0.6979166666666666</v>
      </c>
      <c r="R19" s="21">
        <f t="shared" si="9"/>
        <v>8.5</v>
      </c>
      <c r="S19" s="4"/>
      <c r="T19" s="20"/>
      <c r="U19" s="20"/>
      <c r="V19" s="21"/>
      <c r="W19" s="4"/>
      <c r="X19" s="4"/>
      <c r="Y19" s="4"/>
      <c r="Z19" s="4"/>
    </row>
    <row r="20">
      <c r="A20" s="15">
        <f t="shared" si="6"/>
        <v>46156</v>
      </c>
      <c r="B20" s="16" t="str">
        <f t="shared" si="3"/>
        <v>Thu</v>
      </c>
      <c r="C20" s="17">
        <v>8.5</v>
      </c>
      <c r="D20" s="17"/>
      <c r="E20" s="18"/>
      <c r="F20" s="18"/>
      <c r="G20" s="18" t="str">
        <f>IF(COUNTIF(Holidays!$A$2:$A$12,$A20)&gt;0, 8,"")</f>
        <v/>
      </c>
      <c r="H20" s="18"/>
      <c r="I20" s="18"/>
      <c r="J20" s="18"/>
      <c r="K20" s="18"/>
      <c r="L20" s="18"/>
      <c r="M20" s="16">
        <f t="shared" si="4"/>
        <v>8.5</v>
      </c>
      <c r="N20" s="16">
        <f t="shared" si="5"/>
        <v>8</v>
      </c>
      <c r="O20" s="4"/>
      <c r="P20" s="20">
        <v>0.2916666666666667</v>
      </c>
      <c r="Q20" s="20">
        <v>0.6458333333333334</v>
      </c>
      <c r="R20" s="21">
        <f t="shared" si="9"/>
        <v>8.5</v>
      </c>
      <c r="S20" s="4"/>
      <c r="T20" s="20"/>
      <c r="U20" s="20"/>
      <c r="V20" s="21"/>
      <c r="W20" s="4"/>
      <c r="X20" s="4"/>
      <c r="Y20" s="4"/>
      <c r="Z20" s="4"/>
    </row>
    <row r="21">
      <c r="A21" s="15">
        <f t="shared" si="6"/>
        <v>46157</v>
      </c>
      <c r="B21" s="16" t="str">
        <f t="shared" si="3"/>
        <v>Fri</v>
      </c>
      <c r="C21" s="17">
        <v>7.75</v>
      </c>
      <c r="D21" s="17"/>
      <c r="E21" s="18"/>
      <c r="F21" s="18"/>
      <c r="G21" s="18" t="str">
        <f>IF(COUNTIF(Holidays!$A$2:$A$12,$A21)&gt;0, 8,"")</f>
        <v/>
      </c>
      <c r="H21" s="18"/>
      <c r="I21" s="18"/>
      <c r="J21" s="18"/>
      <c r="K21" s="18"/>
      <c r="L21" s="18"/>
      <c r="M21" s="16">
        <f t="shared" si="4"/>
        <v>7.75</v>
      </c>
      <c r="N21" s="16">
        <f t="shared" si="5"/>
        <v>8</v>
      </c>
      <c r="O21" s="4"/>
      <c r="P21" s="20">
        <v>0.34375</v>
      </c>
      <c r="Q21" s="20">
        <v>0.6666666666666666</v>
      </c>
      <c r="R21" s="21">
        <f t="shared" si="9"/>
        <v>7.75</v>
      </c>
      <c r="S21" s="4"/>
      <c r="T21" s="20"/>
      <c r="U21" s="20"/>
      <c r="V21" s="21"/>
      <c r="W21" s="4"/>
      <c r="X21" s="4"/>
      <c r="Y21" s="4"/>
      <c r="Z21" s="4"/>
    </row>
    <row r="22">
      <c r="A22" s="2" t="s">
        <v>47</v>
      </c>
      <c r="C22" s="14">
        <f t="shared" ref="C22:N22" si="10">sum(C7:C21)</f>
        <v>88</v>
      </c>
      <c r="D22" s="14">
        <f t="shared" si="10"/>
        <v>0</v>
      </c>
      <c r="E22" s="14">
        <f t="shared" si="10"/>
        <v>0</v>
      </c>
      <c r="F22" s="14">
        <f t="shared" si="10"/>
        <v>0</v>
      </c>
      <c r="G22" s="14">
        <f t="shared" si="10"/>
        <v>0</v>
      </c>
      <c r="H22" s="14">
        <f t="shared" si="10"/>
        <v>0</v>
      </c>
      <c r="I22" s="14">
        <f t="shared" si="10"/>
        <v>0</v>
      </c>
      <c r="J22" s="14">
        <f t="shared" si="10"/>
        <v>0</v>
      </c>
      <c r="K22" s="14">
        <f t="shared" si="10"/>
        <v>0</v>
      </c>
      <c r="L22" s="14">
        <f t="shared" si="10"/>
        <v>0</v>
      </c>
      <c r="M22" s="14">
        <f t="shared" si="10"/>
        <v>88</v>
      </c>
      <c r="N22" s="14">
        <f t="shared" si="10"/>
        <v>88</v>
      </c>
      <c r="O22" s="4"/>
      <c r="P22" s="4"/>
      <c r="Q22" s="4"/>
      <c r="R22" s="24"/>
      <c r="S22" s="4"/>
      <c r="T22" s="4"/>
      <c r="U22" s="4"/>
      <c r="V22" s="2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2" t="s">
        <v>49</v>
      </c>
      <c r="B25" s="2" t="s">
        <v>30</v>
      </c>
      <c r="C25" s="14" t="str">
        <f t="array" ref="C25:L25">transpose('Time Types'!A2:A11)</f>
        <v>Regular</v>
      </c>
      <c r="D25" s="14" t="s">
        <v>31</v>
      </c>
      <c r="E25" s="14" t="s">
        <v>32</v>
      </c>
      <c r="F25" s="14" t="s">
        <v>12</v>
      </c>
      <c r="G25" s="14" t="s">
        <v>33</v>
      </c>
      <c r="H25" s="14" t="s">
        <v>34</v>
      </c>
      <c r="I25" s="14" t="s">
        <v>14</v>
      </c>
      <c r="J25" s="14" t="s">
        <v>16</v>
      </c>
      <c r="K25" s="14" t="s">
        <v>35</v>
      </c>
      <c r="L25" s="14" t="s">
        <v>36</v>
      </c>
      <c r="M25" s="2" t="s">
        <v>37</v>
      </c>
      <c r="N25" s="2" t="s">
        <v>38</v>
      </c>
      <c r="O25" s="4"/>
      <c r="P25" s="20"/>
      <c r="Q25" s="19"/>
      <c r="R25" s="21"/>
      <c r="S25" s="4"/>
      <c r="T25" s="20"/>
      <c r="U25" s="19"/>
      <c r="V25" s="21"/>
      <c r="W25" s="4"/>
      <c r="X25" s="4"/>
      <c r="Y25" s="4"/>
      <c r="Z25" s="4"/>
    </row>
    <row r="26">
      <c r="A26" s="15">
        <f>A21+1</f>
        <v>46158</v>
      </c>
      <c r="B26" s="16" t="str">
        <f t="shared" ref="B26:B41" si="11">text(A26,"ddd")</f>
        <v>Sat</v>
      </c>
      <c r="C26" s="17"/>
      <c r="D26" s="18"/>
      <c r="E26" s="18"/>
      <c r="F26" s="18"/>
      <c r="G26" s="18" t="str">
        <f>IF(COUNTIF(Holidays!$A$2:$A$12,$A26)&gt;0, 8,"")</f>
        <v/>
      </c>
      <c r="H26" s="18"/>
      <c r="I26" s="18"/>
      <c r="J26" s="18"/>
      <c r="K26" s="18"/>
      <c r="L26" s="18"/>
      <c r="M26" s="16" t="str">
        <f t="shared" ref="M26:M41" si="12">IF(OR(B26="Sat", B26="Sun"), "", sum(C26:J26))</f>
        <v/>
      </c>
      <c r="N26" s="16" t="str">
        <f t="shared" ref="N26:N41" si="13">IF(OR(B26="Sat", B26="Sun"), "", 8)</f>
        <v/>
      </c>
      <c r="O26" s="4"/>
      <c r="P26" s="13" t="s">
        <v>39</v>
      </c>
      <c r="Q26" s="13" t="s">
        <v>39</v>
      </c>
      <c r="R26" s="13" t="s">
        <v>39</v>
      </c>
      <c r="S26" s="4"/>
      <c r="T26" s="20"/>
      <c r="U26" s="19"/>
      <c r="V26" s="21"/>
      <c r="W26" s="4"/>
      <c r="X26" s="4"/>
      <c r="Y26" s="4"/>
      <c r="Z26" s="4"/>
    </row>
    <row r="27">
      <c r="A27" s="15">
        <f t="shared" ref="A27:A41" si="14">A26+1</f>
        <v>46159</v>
      </c>
      <c r="B27" s="16" t="str">
        <f t="shared" si="11"/>
        <v>Sun</v>
      </c>
      <c r="C27" s="18"/>
      <c r="D27" s="18"/>
      <c r="E27" s="18"/>
      <c r="F27" s="18"/>
      <c r="G27" s="18" t="str">
        <f>IF(COUNTIF(Holidays!$A$2:$A$12,$A27)&gt;0, 8,"")</f>
        <v/>
      </c>
      <c r="H27" s="18"/>
      <c r="I27" s="18"/>
      <c r="J27" s="18"/>
      <c r="K27" s="18"/>
      <c r="L27" s="18"/>
      <c r="M27" s="16" t="str">
        <f t="shared" si="12"/>
        <v/>
      </c>
      <c r="N27" s="16" t="str">
        <f t="shared" si="13"/>
        <v/>
      </c>
      <c r="O27" s="4"/>
      <c r="P27" s="13" t="s">
        <v>39</v>
      </c>
      <c r="Q27" s="13" t="s">
        <v>39</v>
      </c>
      <c r="R27" s="13" t="s">
        <v>39</v>
      </c>
      <c r="S27" s="4"/>
      <c r="T27" s="20"/>
      <c r="U27" s="19"/>
      <c r="V27" s="21"/>
      <c r="W27" s="4"/>
      <c r="X27" s="4"/>
      <c r="Y27" s="4"/>
      <c r="Z27" s="4"/>
    </row>
    <row r="28">
      <c r="A28" s="15">
        <f t="shared" si="14"/>
        <v>46160</v>
      </c>
      <c r="B28" s="16" t="str">
        <f t="shared" si="11"/>
        <v>Mon</v>
      </c>
      <c r="C28" s="17">
        <v>8.0</v>
      </c>
      <c r="D28" s="17">
        <v>1.25</v>
      </c>
      <c r="E28" s="18"/>
      <c r="F28" s="18"/>
      <c r="G28" s="18" t="str">
        <f>IF(COUNTIF(Holidays!$A$2:$A$12,$A28)&gt;0, 8,"")</f>
        <v/>
      </c>
      <c r="H28" s="18"/>
      <c r="I28" s="18"/>
      <c r="J28" s="18"/>
      <c r="K28" s="18"/>
      <c r="L28" s="18"/>
      <c r="M28" s="16">
        <f t="shared" si="12"/>
        <v>9.25</v>
      </c>
      <c r="N28" s="16">
        <f t="shared" si="13"/>
        <v>8</v>
      </c>
      <c r="O28" s="4"/>
      <c r="P28" s="20">
        <v>0.3333333333333333</v>
      </c>
      <c r="Q28" s="19">
        <v>0.71875</v>
      </c>
      <c r="R28" s="21">
        <f t="shared" ref="R28:R31" si="15">(Q28-P28)*24</f>
        <v>9.25</v>
      </c>
      <c r="S28" s="4"/>
      <c r="T28" s="13"/>
      <c r="U28" s="13"/>
      <c r="V28" s="22"/>
      <c r="W28" s="4"/>
      <c r="X28" s="4"/>
      <c r="Y28" s="4"/>
      <c r="Z28" s="4"/>
    </row>
    <row r="29">
      <c r="A29" s="15">
        <f t="shared" si="14"/>
        <v>46161</v>
      </c>
      <c r="B29" s="16" t="str">
        <f t="shared" si="11"/>
        <v>Tue</v>
      </c>
      <c r="C29" s="17">
        <v>8.0</v>
      </c>
      <c r="D29" s="17">
        <v>0.75</v>
      </c>
      <c r="E29" s="18"/>
      <c r="F29" s="18"/>
      <c r="G29" s="18" t="str">
        <f>IF(COUNTIF(Holidays!$A$2:$A$12,$A29)&gt;0, 8,"")</f>
        <v/>
      </c>
      <c r="H29" s="18"/>
      <c r="I29" s="18"/>
      <c r="J29" s="18"/>
      <c r="K29" s="18"/>
      <c r="L29" s="18"/>
      <c r="M29" s="16">
        <f t="shared" si="12"/>
        <v>8.75</v>
      </c>
      <c r="N29" s="16">
        <f t="shared" si="13"/>
        <v>8</v>
      </c>
      <c r="O29" s="4"/>
      <c r="P29" s="20">
        <v>0.3263888888888889</v>
      </c>
      <c r="Q29" s="19">
        <v>0.6909722222222222</v>
      </c>
      <c r="R29" s="21">
        <f t="shared" si="15"/>
        <v>8.75</v>
      </c>
      <c r="S29" s="4"/>
      <c r="T29" s="13"/>
      <c r="U29" s="13"/>
      <c r="V29" s="22"/>
      <c r="W29" s="4"/>
      <c r="X29" s="4"/>
      <c r="Y29" s="4"/>
      <c r="Z29" s="4"/>
    </row>
    <row r="30">
      <c r="A30" s="15">
        <f t="shared" si="14"/>
        <v>46162</v>
      </c>
      <c r="B30" s="16" t="str">
        <f t="shared" si="11"/>
        <v>Wed</v>
      </c>
      <c r="C30" s="17">
        <v>8.0</v>
      </c>
      <c r="D30" s="17"/>
      <c r="E30" s="18"/>
      <c r="F30" s="18"/>
      <c r="G30" s="18" t="str">
        <f>IF(COUNTIF(Holidays!$A$2:$A$12,$A30)&gt;0, 8,"")</f>
        <v/>
      </c>
      <c r="H30" s="18"/>
      <c r="I30" s="18"/>
      <c r="J30" s="18"/>
      <c r="K30" s="18"/>
      <c r="L30" s="18"/>
      <c r="M30" s="16">
        <f t="shared" si="12"/>
        <v>8</v>
      </c>
      <c r="N30" s="16">
        <f t="shared" si="13"/>
        <v>8</v>
      </c>
      <c r="O30" s="4"/>
      <c r="P30" s="20">
        <v>0.3784722222222222</v>
      </c>
      <c r="Q30" s="19">
        <v>0.7118055555555556</v>
      </c>
      <c r="R30" s="21">
        <f t="shared" si="15"/>
        <v>8</v>
      </c>
      <c r="S30" s="4"/>
      <c r="T30" s="20"/>
      <c r="U30" s="19"/>
      <c r="V30" s="21"/>
      <c r="W30" s="4"/>
      <c r="X30" s="4"/>
      <c r="Y30" s="4"/>
      <c r="Z30" s="4"/>
    </row>
    <row r="31">
      <c r="A31" s="15">
        <f t="shared" si="14"/>
        <v>46163</v>
      </c>
      <c r="B31" s="16" t="str">
        <f t="shared" si="11"/>
        <v>Thu</v>
      </c>
      <c r="C31" s="17">
        <v>8.0</v>
      </c>
      <c r="D31" s="17">
        <v>0.5</v>
      </c>
      <c r="E31" s="18"/>
      <c r="F31" s="18"/>
      <c r="G31" s="18" t="str">
        <f>IF(COUNTIF(Holidays!$A$2:$A$12,$A31)&gt;0, 8,"")</f>
        <v/>
      </c>
      <c r="H31" s="18"/>
      <c r="I31" s="18"/>
      <c r="J31" s="18"/>
      <c r="K31" s="18"/>
      <c r="L31" s="18"/>
      <c r="M31" s="16">
        <f t="shared" si="12"/>
        <v>8.5</v>
      </c>
      <c r="N31" s="16">
        <f t="shared" si="13"/>
        <v>8</v>
      </c>
      <c r="O31" s="4"/>
      <c r="P31" s="20">
        <v>0.3541666666666667</v>
      </c>
      <c r="Q31" s="19">
        <v>0.7083333333333334</v>
      </c>
      <c r="R31" s="21">
        <f t="shared" si="15"/>
        <v>8.5</v>
      </c>
      <c r="S31" s="4"/>
      <c r="T31" s="20"/>
      <c r="U31" s="19"/>
      <c r="V31" s="21"/>
      <c r="W31" s="4"/>
      <c r="X31" s="4"/>
      <c r="Y31" s="4"/>
      <c r="Z31" s="4"/>
    </row>
    <row r="32">
      <c r="A32" s="15">
        <f t="shared" si="14"/>
        <v>46164</v>
      </c>
      <c r="B32" s="16" t="str">
        <f t="shared" si="11"/>
        <v>Fri</v>
      </c>
      <c r="C32" s="17">
        <v>7.0</v>
      </c>
      <c r="D32" s="17"/>
      <c r="E32" s="18"/>
      <c r="F32" s="18"/>
      <c r="G32" s="18" t="str">
        <f>IF(COUNTIF(Holidays!$A$2:$A$12,$A32)&gt;0, 8,"")</f>
        <v/>
      </c>
      <c r="H32" s="17">
        <v>1.0</v>
      </c>
      <c r="I32" s="18"/>
      <c r="J32" s="18"/>
      <c r="K32" s="18"/>
      <c r="L32" s="18"/>
      <c r="M32" s="16">
        <f t="shared" si="12"/>
        <v>8</v>
      </c>
      <c r="N32" s="16">
        <f t="shared" si="13"/>
        <v>8</v>
      </c>
      <c r="O32" s="4"/>
      <c r="P32" s="20">
        <v>0.34375</v>
      </c>
      <c r="Q32" s="19">
        <v>0.6354166666666666</v>
      </c>
      <c r="R32" s="21">
        <f>(Q32-P32)*24+1</f>
        <v>8</v>
      </c>
      <c r="S32" s="4"/>
      <c r="T32" s="20"/>
      <c r="U32" s="19"/>
      <c r="V32" s="21"/>
      <c r="W32" s="4"/>
      <c r="X32" s="4"/>
      <c r="Y32" s="4"/>
      <c r="Z32" s="4"/>
    </row>
    <row r="33">
      <c r="A33" s="15">
        <f t="shared" si="14"/>
        <v>46165</v>
      </c>
      <c r="B33" s="16" t="str">
        <f t="shared" si="11"/>
        <v>Sat</v>
      </c>
      <c r="C33" s="17"/>
      <c r="D33" s="18"/>
      <c r="E33" s="18"/>
      <c r="F33" s="18"/>
      <c r="G33" s="18" t="str">
        <f>IF(COUNTIF(Holidays!$A$2:$A$12,$A33)&gt;0, 8,"")</f>
        <v/>
      </c>
      <c r="H33" s="18"/>
      <c r="I33" s="18"/>
      <c r="J33" s="18"/>
      <c r="K33" s="18"/>
      <c r="L33" s="18"/>
      <c r="M33" s="16" t="str">
        <f t="shared" si="12"/>
        <v/>
      </c>
      <c r="N33" s="16" t="str">
        <f t="shared" si="13"/>
        <v/>
      </c>
      <c r="O33" s="4"/>
      <c r="P33" s="13" t="s">
        <v>39</v>
      </c>
      <c r="Q33" s="13" t="s">
        <v>39</v>
      </c>
      <c r="R33" s="13" t="s">
        <v>39</v>
      </c>
      <c r="S33" s="4"/>
      <c r="T33" s="20"/>
      <c r="U33" s="19"/>
      <c r="V33" s="21"/>
      <c r="W33" s="4"/>
      <c r="X33" s="4"/>
      <c r="Y33" s="4"/>
      <c r="Z33" s="4"/>
    </row>
    <row r="34">
      <c r="A34" s="15">
        <f t="shared" si="14"/>
        <v>46166</v>
      </c>
      <c r="B34" s="16" t="str">
        <f t="shared" si="11"/>
        <v>Sun</v>
      </c>
      <c r="C34" s="18"/>
      <c r="D34" s="18"/>
      <c r="E34" s="18"/>
      <c r="F34" s="18"/>
      <c r="G34" s="18" t="str">
        <f>IF(COUNTIF(Holidays!$A$2:$A$12,$A34)&gt;0, 8,"")</f>
        <v/>
      </c>
      <c r="H34" s="18"/>
      <c r="I34" s="18"/>
      <c r="J34" s="18"/>
      <c r="K34" s="18"/>
      <c r="L34" s="18"/>
      <c r="M34" s="16" t="str">
        <f t="shared" si="12"/>
        <v/>
      </c>
      <c r="N34" s="16" t="str">
        <f t="shared" si="13"/>
        <v/>
      </c>
      <c r="O34" s="4"/>
      <c r="P34" s="13" t="s">
        <v>39</v>
      </c>
      <c r="Q34" s="13" t="s">
        <v>39</v>
      </c>
      <c r="R34" s="13" t="s">
        <v>39</v>
      </c>
      <c r="S34" s="4"/>
      <c r="T34" s="20"/>
      <c r="U34" s="19"/>
      <c r="V34" s="21"/>
      <c r="W34" s="4"/>
      <c r="X34" s="4"/>
      <c r="Y34" s="4"/>
      <c r="Z34" s="4"/>
    </row>
    <row r="35">
      <c r="A35" s="15">
        <f t="shared" si="14"/>
        <v>46167</v>
      </c>
      <c r="B35" s="16" t="str">
        <f t="shared" si="11"/>
        <v>Mon</v>
      </c>
      <c r="C35" s="18"/>
      <c r="D35" s="17"/>
      <c r="E35" s="18"/>
      <c r="F35" s="18"/>
      <c r="G35" s="18">
        <f>IF(COUNTIF(Holidays!$A$2:$A$12,$A35)&gt;0, 8,"")</f>
        <v>8</v>
      </c>
      <c r="H35" s="18"/>
      <c r="I35" s="18"/>
      <c r="J35" s="18"/>
      <c r="K35" s="18"/>
      <c r="L35" s="18"/>
      <c r="M35" s="16">
        <f t="shared" si="12"/>
        <v>8</v>
      </c>
      <c r="N35" s="16">
        <f t="shared" si="13"/>
        <v>8</v>
      </c>
      <c r="O35" s="4"/>
      <c r="P35" s="20">
        <v>0.3333333333333333</v>
      </c>
      <c r="Q35" s="19">
        <v>0.6666666666666666</v>
      </c>
      <c r="R35" s="21">
        <f t="shared" ref="R35:R39" si="16">(Q35-P35)*24</f>
        <v>8</v>
      </c>
      <c r="S35" s="4"/>
      <c r="T35" s="13"/>
      <c r="U35" s="13"/>
      <c r="V35" s="22"/>
      <c r="W35" s="4"/>
      <c r="X35" s="4"/>
      <c r="Y35" s="4"/>
      <c r="Z35" s="4"/>
    </row>
    <row r="36">
      <c r="A36" s="15">
        <f t="shared" si="14"/>
        <v>46168</v>
      </c>
      <c r="B36" s="16" t="str">
        <f t="shared" si="11"/>
        <v>Tue</v>
      </c>
      <c r="C36" s="17">
        <v>8.0</v>
      </c>
      <c r="D36" s="17">
        <v>0.5</v>
      </c>
      <c r="E36" s="18"/>
      <c r="F36" s="18"/>
      <c r="G36" s="18" t="str">
        <f>IF(COUNTIF(Holidays!$A$2:$A$12,$A36)&gt;0, 8,"")</f>
        <v/>
      </c>
      <c r="H36" s="18"/>
      <c r="I36" s="18"/>
      <c r="J36" s="18"/>
      <c r="K36" s="18"/>
      <c r="L36" s="18"/>
      <c r="M36" s="16">
        <f t="shared" si="12"/>
        <v>8.5</v>
      </c>
      <c r="N36" s="16">
        <f t="shared" si="13"/>
        <v>8</v>
      </c>
      <c r="O36" s="4"/>
      <c r="P36" s="20">
        <v>0.3680555555555556</v>
      </c>
      <c r="Q36" s="19">
        <v>0.7222222222222222</v>
      </c>
      <c r="R36" s="21">
        <f t="shared" si="16"/>
        <v>8.5</v>
      </c>
      <c r="S36" s="4"/>
      <c r="T36" s="13"/>
      <c r="U36" s="13"/>
      <c r="V36" s="22"/>
      <c r="W36" s="4"/>
      <c r="X36" s="4"/>
      <c r="Y36" s="4"/>
      <c r="Z36" s="4"/>
    </row>
    <row r="37">
      <c r="A37" s="15">
        <f t="shared" si="14"/>
        <v>46169</v>
      </c>
      <c r="B37" s="16" t="str">
        <f t="shared" si="11"/>
        <v>Wed</v>
      </c>
      <c r="C37" s="17">
        <v>8.0</v>
      </c>
      <c r="D37" s="17"/>
      <c r="E37" s="18"/>
      <c r="F37" s="18"/>
      <c r="G37" s="18" t="str">
        <f>IF(COUNTIF(Holidays!$A$2:$A$12,$A37)&gt;0, 8,"")</f>
        <v/>
      </c>
      <c r="H37" s="18"/>
      <c r="I37" s="18"/>
      <c r="J37" s="18"/>
      <c r="K37" s="18"/>
      <c r="L37" s="18"/>
      <c r="M37" s="16">
        <f t="shared" si="12"/>
        <v>8</v>
      </c>
      <c r="N37" s="16">
        <f t="shared" si="13"/>
        <v>8</v>
      </c>
      <c r="O37" s="4"/>
      <c r="P37" s="20">
        <v>0.34375</v>
      </c>
      <c r="Q37" s="19">
        <v>0.6770833333333334</v>
      </c>
      <c r="R37" s="21">
        <f t="shared" si="16"/>
        <v>8</v>
      </c>
      <c r="S37" s="4"/>
      <c r="T37" s="20"/>
      <c r="U37" s="19"/>
      <c r="V37" s="21"/>
      <c r="W37" s="4"/>
      <c r="X37" s="4"/>
      <c r="Y37" s="4"/>
      <c r="Z37" s="4"/>
    </row>
    <row r="38">
      <c r="A38" s="15">
        <f t="shared" si="14"/>
        <v>46170</v>
      </c>
      <c r="B38" s="16" t="str">
        <f t="shared" si="11"/>
        <v>Thu</v>
      </c>
      <c r="C38" s="17">
        <v>8.5</v>
      </c>
      <c r="D38" s="17"/>
      <c r="E38" s="18"/>
      <c r="F38" s="18"/>
      <c r="G38" s="18" t="str">
        <f>IF(COUNTIF(Holidays!$A$2:$A$12,$A38)&gt;0, 8,"")</f>
        <v/>
      </c>
      <c r="H38" s="18"/>
      <c r="I38" s="18"/>
      <c r="J38" s="18"/>
      <c r="K38" s="18"/>
      <c r="L38" s="18"/>
      <c r="M38" s="16">
        <f t="shared" si="12"/>
        <v>8.5</v>
      </c>
      <c r="N38" s="16">
        <f t="shared" si="13"/>
        <v>8</v>
      </c>
      <c r="O38" s="4"/>
      <c r="P38" s="20">
        <v>0.3333333333333333</v>
      </c>
      <c r="Q38" s="20">
        <v>0.6875</v>
      </c>
      <c r="R38" s="21">
        <f t="shared" si="16"/>
        <v>8.5</v>
      </c>
      <c r="S38" s="4"/>
      <c r="T38" s="20"/>
      <c r="U38" s="19"/>
      <c r="V38" s="21"/>
      <c r="W38" s="4"/>
      <c r="X38" s="4"/>
      <c r="Y38" s="4"/>
      <c r="Z38" s="4"/>
    </row>
    <row r="39">
      <c r="A39" s="15">
        <f t="shared" si="14"/>
        <v>46171</v>
      </c>
      <c r="B39" s="16" t="str">
        <f t="shared" si="11"/>
        <v>Fri</v>
      </c>
      <c r="C39" s="17">
        <v>7.5</v>
      </c>
      <c r="D39" s="17"/>
      <c r="E39" s="18"/>
      <c r="F39" s="18"/>
      <c r="G39" s="18" t="str">
        <f>IF(COUNTIF(Holidays!$A$2:$A$12,$A39)&gt;0, 8,"")</f>
        <v/>
      </c>
      <c r="H39" s="18"/>
      <c r="I39" s="18"/>
      <c r="J39" s="18"/>
      <c r="K39" s="18"/>
      <c r="L39" s="18"/>
      <c r="M39" s="16">
        <f t="shared" si="12"/>
        <v>7.5</v>
      </c>
      <c r="N39" s="16">
        <f t="shared" si="13"/>
        <v>8</v>
      </c>
      <c r="O39" s="4"/>
      <c r="P39" s="20">
        <v>0.3333333333333333</v>
      </c>
      <c r="Q39" s="20">
        <v>0.6875</v>
      </c>
      <c r="R39" s="21">
        <f t="shared" si="16"/>
        <v>8.5</v>
      </c>
      <c r="S39" s="4"/>
      <c r="T39" s="20"/>
      <c r="U39" s="19"/>
      <c r="V39" s="21"/>
      <c r="W39" s="4"/>
      <c r="X39" s="4"/>
      <c r="Y39" s="4"/>
      <c r="Z39" s="4"/>
    </row>
    <row r="40">
      <c r="A40" s="15">
        <f t="shared" si="14"/>
        <v>46172</v>
      </c>
      <c r="B40" s="16" t="str">
        <f t="shared" si="11"/>
        <v>Sat</v>
      </c>
      <c r="C40" s="17"/>
      <c r="D40" s="17"/>
      <c r="E40" s="18"/>
      <c r="F40" s="18"/>
      <c r="G40" s="18" t="str">
        <f>IF(COUNTIF(Holidays!$A$2:$A$12,$A40)&gt;0, 8,"")</f>
        <v/>
      </c>
      <c r="H40" s="18"/>
      <c r="I40" s="18"/>
      <c r="J40" s="18"/>
      <c r="K40" s="18"/>
      <c r="L40" s="18"/>
      <c r="M40" s="16" t="str">
        <f t="shared" si="12"/>
        <v/>
      </c>
      <c r="N40" s="16" t="str">
        <f t="shared" si="13"/>
        <v/>
      </c>
      <c r="O40" s="4"/>
      <c r="P40" s="20"/>
      <c r="Q40" s="19"/>
      <c r="R40" s="21"/>
      <c r="S40" s="4"/>
      <c r="T40" s="20"/>
      <c r="U40" s="19"/>
      <c r="V40" s="21"/>
      <c r="W40" s="4"/>
      <c r="X40" s="4"/>
      <c r="Y40" s="4"/>
      <c r="Z40" s="4"/>
    </row>
    <row r="41">
      <c r="A41" s="15">
        <f t="shared" si="14"/>
        <v>46173</v>
      </c>
      <c r="B41" s="16" t="str">
        <f t="shared" si="11"/>
        <v>Sun</v>
      </c>
      <c r="C41" s="18"/>
      <c r="D41" s="18"/>
      <c r="E41" s="18"/>
      <c r="F41" s="18"/>
      <c r="G41" s="18" t="str">
        <f>IF(COUNTIF(Holidays!$A$2:$A$12,$A41)&gt;0, 8,"")</f>
        <v/>
      </c>
      <c r="H41" s="18"/>
      <c r="I41" s="18"/>
      <c r="J41" s="18"/>
      <c r="K41" s="18"/>
      <c r="L41" s="18"/>
      <c r="M41" s="16" t="str">
        <f t="shared" si="12"/>
        <v/>
      </c>
      <c r="N41" s="16" t="str">
        <f t="shared" si="13"/>
        <v/>
      </c>
      <c r="O41" s="4"/>
      <c r="P41" s="4"/>
      <c r="Q41" s="4"/>
      <c r="S41" s="4"/>
      <c r="T41" s="4"/>
      <c r="U41" s="4"/>
      <c r="W41" s="4"/>
      <c r="X41" s="4"/>
      <c r="Y41" s="4"/>
      <c r="Z41" s="4"/>
    </row>
    <row r="42">
      <c r="A42" s="2" t="s">
        <v>47</v>
      </c>
      <c r="C42" s="14">
        <f t="shared" ref="C42:N42" si="17">sum(C26:C41)</f>
        <v>71</v>
      </c>
      <c r="D42" s="14">
        <f t="shared" si="17"/>
        <v>3</v>
      </c>
      <c r="E42" s="14">
        <f t="shared" si="17"/>
        <v>0</v>
      </c>
      <c r="F42" s="14">
        <f t="shared" si="17"/>
        <v>0</v>
      </c>
      <c r="G42" s="14">
        <f t="shared" si="17"/>
        <v>8</v>
      </c>
      <c r="H42" s="14">
        <f t="shared" si="17"/>
        <v>1</v>
      </c>
      <c r="I42" s="14">
        <f t="shared" si="17"/>
        <v>0</v>
      </c>
      <c r="J42" s="14">
        <f t="shared" si="17"/>
        <v>0</v>
      </c>
      <c r="K42" s="14">
        <f t="shared" si="17"/>
        <v>0</v>
      </c>
      <c r="L42" s="14">
        <f t="shared" si="17"/>
        <v>0</v>
      </c>
      <c r="M42" s="14">
        <f t="shared" si="17"/>
        <v>83</v>
      </c>
      <c r="N42" s="14">
        <f t="shared" si="17"/>
        <v>80</v>
      </c>
      <c r="O42" s="4"/>
      <c r="P42" s="4"/>
      <c r="Q42" s="4"/>
      <c r="R42" s="24">
        <f>sum(R25:R40)</f>
        <v>84</v>
      </c>
      <c r="S42" s="4"/>
      <c r="T42" s="4"/>
      <c r="U42" s="4"/>
      <c r="V42" s="25"/>
      <c r="W42" s="4"/>
      <c r="X42" s="4"/>
      <c r="Y42" s="4"/>
      <c r="Z42" s="4"/>
    </row>
    <row r="43">
      <c r="A43" s="4"/>
      <c r="B43" s="4"/>
      <c r="C43" s="4"/>
      <c r="D43" s="4"/>
      <c r="E43" s="4"/>
      <c r="F43" s="4"/>
      <c r="G43" s="4"/>
      <c r="H43" s="4"/>
      <c r="I43" s="4"/>
      <c r="J43" s="4"/>
      <c r="K43" s="4"/>
      <c r="L43" s="4"/>
      <c r="M43" s="4"/>
      <c r="N43" s="4"/>
      <c r="O43" s="4"/>
      <c r="S43" s="4"/>
      <c r="T43" s="4"/>
      <c r="U43" s="4"/>
      <c r="V43" s="4"/>
      <c r="W43" s="4"/>
      <c r="X43" s="4"/>
      <c r="Y43" s="4"/>
      <c r="Z43" s="4"/>
    </row>
    <row r="44">
      <c r="A44" s="4"/>
      <c r="B44" s="4"/>
      <c r="C44" s="4"/>
      <c r="D44" s="4"/>
      <c r="E44" s="4"/>
      <c r="F44" s="4"/>
      <c r="G44" s="4"/>
      <c r="H44" s="4"/>
      <c r="I44" s="4"/>
      <c r="J44" s="4"/>
      <c r="K44" s="4"/>
      <c r="L44" s="4"/>
      <c r="M44" s="4"/>
      <c r="N44" s="4"/>
      <c r="O44" s="4"/>
      <c r="P44" s="4"/>
      <c r="Q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4">
    <mergeCell ref="M2:N2"/>
    <mergeCell ref="P2:Q2"/>
    <mergeCell ref="A22:B22"/>
    <mergeCell ref="A42:B42"/>
  </mergeCells>
  <conditionalFormatting sqref="C7:L21 C26:L41">
    <cfRule type="expression" dxfId="0" priority="1">
      <formula>OR($B7="Sat", $B7="Sun")</formula>
    </cfRule>
  </conditionalFormatting>
  <conditionalFormatting sqref="C7:L21 C26:L41">
    <cfRule type="notContainsBlanks" dxfId="1" priority="2">
      <formula>LEN(TRIM(C7))&gt;0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15" max="15" width="3.38"/>
    <col customWidth="1" min="19" max="19" width="2.63"/>
    <col customWidth="1" min="23" max="23" width="17.88"/>
  </cols>
  <sheetData>
    <row r="1">
      <c r="A1" s="2" t="s">
        <v>21</v>
      </c>
      <c r="B1" s="2" t="s">
        <v>4</v>
      </c>
      <c r="C1" s="2" t="s">
        <v>6</v>
      </c>
      <c r="D1" s="2" t="s">
        <v>7</v>
      </c>
      <c r="E1" s="2" t="s">
        <v>9</v>
      </c>
      <c r="F1" s="4"/>
      <c r="I1" s="4"/>
      <c r="J1" s="4"/>
      <c r="K1" s="4"/>
      <c r="L1" s="4"/>
      <c r="M1" s="4"/>
      <c r="N1" s="4"/>
      <c r="O1" s="4"/>
      <c r="P1" s="4"/>
      <c r="Q1" s="4"/>
      <c r="R1" s="4"/>
      <c r="S1" s="4"/>
      <c r="T1" s="4"/>
      <c r="U1" s="4"/>
      <c r="V1" s="4"/>
      <c r="W1" s="4"/>
      <c r="X1" s="4"/>
      <c r="Y1" s="4"/>
      <c r="Z1" s="4"/>
    </row>
    <row r="2">
      <c r="A2" s="8" t="s">
        <v>13</v>
      </c>
      <c r="B2" s="12">
        <f t="array" ref="B2">INDIRECT(TEXT(EDATE(DATE(2026, MATCH($A$1, {"January","February","March","April","May","June","July","August","September","October","November","December"}, 0), 1), -1), "mmm") &amp; " 26!B4")</f>
        <v>71.5</v>
      </c>
      <c r="C2" s="12">
        <f t="array" ref="C2">INDIRECT(TEXT(EDATE(DATE(2026, MATCH($A$1, {"January","February","March","April","May","June","July","August","September","October","November","December"}, 0), 1), -1), "mmm") &amp; " 26!C4")</f>
        <v>5.25</v>
      </c>
      <c r="D2" s="12">
        <f t="array" ref="D2">INDIRECT(TEXT(EDATE(DATE(2026, MATCH($A$1, {"January","February","March","April","May","June","July","August","September","October","November","December"}, 0), 1), -1), "mmm") &amp; " 26!D4")</f>
        <v>8</v>
      </c>
      <c r="E2" s="12">
        <f t="array" ref="E2">INDIRECT(TEXT(EDATE(DATE(2026, MATCH($A$1, {"January","February","March","April","May","June","July","August","September","October","November","December"}, 0), 1), -1), "mmm") &amp; " 26!E4")</f>
        <v>40</v>
      </c>
      <c r="F2" s="4"/>
      <c r="G2" s="2" t="s">
        <v>8</v>
      </c>
      <c r="H2" s="12">
        <f>'START HERE'!B6</f>
        <v>5</v>
      </c>
      <c r="I2" s="4"/>
      <c r="J2" s="4"/>
      <c r="K2" s="4"/>
      <c r="L2" s="4"/>
      <c r="M2" s="13"/>
      <c r="O2" s="4"/>
      <c r="P2" s="13"/>
      <c r="R2" s="4"/>
      <c r="S2" s="4"/>
      <c r="T2" s="4"/>
      <c r="U2" s="4"/>
      <c r="V2" s="4"/>
      <c r="W2" s="4"/>
      <c r="X2" s="4"/>
      <c r="Y2" s="4"/>
      <c r="Z2" s="4"/>
    </row>
    <row r="3">
      <c r="A3" s="8" t="s">
        <v>23</v>
      </c>
      <c r="B3" s="12">
        <f>B2+H2-F22</f>
        <v>76.5</v>
      </c>
      <c r="C3" s="12">
        <f>C2+D22-E22</f>
        <v>7.25</v>
      </c>
      <c r="D3" s="12">
        <f t="shared" ref="D3:E3" si="1">D2-I22</f>
        <v>8</v>
      </c>
      <c r="E3" s="12">
        <f t="shared" si="1"/>
        <v>40</v>
      </c>
      <c r="F3" s="4"/>
      <c r="G3" s="4"/>
      <c r="H3" s="4"/>
      <c r="I3" s="4"/>
      <c r="J3" s="4"/>
      <c r="K3" s="4"/>
      <c r="L3" s="4"/>
      <c r="M3" s="4"/>
      <c r="N3" s="4"/>
      <c r="O3" s="4"/>
      <c r="P3" s="4"/>
      <c r="Q3" s="4"/>
      <c r="R3" s="4"/>
      <c r="S3" s="4"/>
      <c r="T3" s="4"/>
      <c r="U3" s="4"/>
      <c r="V3" s="4"/>
      <c r="W3" s="4"/>
      <c r="X3" s="4"/>
      <c r="Y3" s="4"/>
      <c r="Z3" s="4"/>
    </row>
    <row r="4">
      <c r="A4" s="8" t="s">
        <v>25</v>
      </c>
      <c r="B4" s="12">
        <f>B3+H2-F42</f>
        <v>73.5</v>
      </c>
      <c r="C4" s="12">
        <f>C3+D42-E42</f>
        <v>1.75</v>
      </c>
      <c r="D4" s="12">
        <f t="shared" ref="D4:E4" si="2">D3-I42</f>
        <v>8</v>
      </c>
      <c r="E4" s="12">
        <f t="shared" si="2"/>
        <v>40</v>
      </c>
      <c r="F4" s="4"/>
      <c r="G4" s="4"/>
      <c r="H4" s="4"/>
      <c r="I4" s="4"/>
      <c r="J4" s="4"/>
      <c r="K4" s="4"/>
      <c r="L4" s="4"/>
      <c r="M4" s="4"/>
      <c r="N4" s="4"/>
      <c r="O4" s="4"/>
      <c r="Q4" s="4"/>
      <c r="R4" s="4"/>
      <c r="S4" s="4"/>
      <c r="U4" s="4"/>
      <c r="V4" s="4"/>
      <c r="W4" s="4"/>
      <c r="X4" s="4"/>
      <c r="Y4" s="4"/>
      <c r="Z4" s="4"/>
    </row>
    <row r="5">
      <c r="A5" s="4"/>
      <c r="B5" s="4"/>
      <c r="C5" s="4"/>
      <c r="D5" s="4"/>
      <c r="E5" s="4"/>
      <c r="F5" s="4"/>
      <c r="G5" s="4"/>
      <c r="H5" s="4"/>
      <c r="I5" s="4"/>
      <c r="J5" s="4"/>
      <c r="K5" s="4"/>
      <c r="L5" s="4"/>
      <c r="M5" s="4"/>
      <c r="N5" s="4"/>
      <c r="O5" s="4"/>
      <c r="P5" s="13" t="s">
        <v>26</v>
      </c>
      <c r="Q5" s="13" t="s">
        <v>27</v>
      </c>
      <c r="R5" s="13" t="s">
        <v>28</v>
      </c>
      <c r="S5" s="13" t="s">
        <v>40</v>
      </c>
      <c r="T5" s="13" t="s">
        <v>26</v>
      </c>
      <c r="U5" s="13" t="s">
        <v>27</v>
      </c>
      <c r="V5" s="13" t="s">
        <v>41</v>
      </c>
      <c r="W5" s="4"/>
      <c r="X5" s="4"/>
      <c r="Y5" s="4"/>
      <c r="Z5" s="4"/>
    </row>
    <row r="6">
      <c r="A6" s="2" t="s">
        <v>29</v>
      </c>
      <c r="B6" s="2" t="s">
        <v>30</v>
      </c>
      <c r="C6" s="14" t="str">
        <f t="array" ref="C6:L6">TRANSPOSE('Time Types'!A2:A11)</f>
        <v>Regular</v>
      </c>
      <c r="D6" s="14" t="s">
        <v>31</v>
      </c>
      <c r="E6" s="14" t="s">
        <v>32</v>
      </c>
      <c r="F6" s="14" t="s">
        <v>12</v>
      </c>
      <c r="G6" s="14" t="s">
        <v>33</v>
      </c>
      <c r="H6" s="14" t="s">
        <v>34</v>
      </c>
      <c r="I6" s="14" t="s">
        <v>14</v>
      </c>
      <c r="J6" s="14" t="s">
        <v>16</v>
      </c>
      <c r="K6" s="14" t="s">
        <v>35</v>
      </c>
      <c r="L6" s="14" t="s">
        <v>36</v>
      </c>
      <c r="M6" s="2" t="s">
        <v>37</v>
      </c>
      <c r="N6" s="2" t="s">
        <v>38</v>
      </c>
      <c r="O6" s="13" t="s">
        <v>42</v>
      </c>
      <c r="P6" s="20"/>
      <c r="Q6" s="20"/>
      <c r="R6" s="21"/>
      <c r="S6" s="4"/>
      <c r="T6" s="4"/>
      <c r="U6" s="4"/>
      <c r="V6" s="4"/>
      <c r="W6" s="4"/>
      <c r="X6" s="4"/>
      <c r="Y6" s="4"/>
      <c r="Z6" s="4"/>
    </row>
    <row r="7">
      <c r="A7" s="15">
        <f>DATE(2026, MONTH(DATEVALUE($A$1 &amp; " 1")), 1)</f>
        <v>46174</v>
      </c>
      <c r="B7" s="16" t="str">
        <f t="shared" ref="B7:B21" si="3">text(A7,"ddd")</f>
        <v>Mon</v>
      </c>
      <c r="C7" s="17">
        <v>8.5</v>
      </c>
      <c r="D7" s="17"/>
      <c r="E7" s="18"/>
      <c r="F7" s="18"/>
      <c r="G7" s="18" t="str">
        <f>IF(COUNTIF(Holidays!$A$2:$A$12,$A7)&gt;0, 8,"")</f>
        <v/>
      </c>
      <c r="H7" s="18"/>
      <c r="I7" s="18"/>
      <c r="J7" s="18"/>
      <c r="K7" s="18"/>
      <c r="L7" s="18"/>
      <c r="M7" s="16">
        <f t="shared" ref="M7:M21" si="4">IF(OR(B7="Sat", B7="Sun"), "", sum(C7:J7))</f>
        <v>8.5</v>
      </c>
      <c r="N7" s="16">
        <f t="shared" ref="N7:N21" si="5">IF(OR(B7="Sat", B7="Sun"), "", 8)</f>
        <v>8</v>
      </c>
      <c r="O7" s="4"/>
      <c r="P7" s="20">
        <v>0.3645833333333333</v>
      </c>
      <c r="Q7" s="20">
        <v>0.71875</v>
      </c>
      <c r="R7" s="21">
        <f>(Q7-P7)*24</f>
        <v>8.5</v>
      </c>
      <c r="S7" s="13"/>
      <c r="T7" s="20">
        <v>0.3333333333333333</v>
      </c>
      <c r="U7" s="20">
        <v>0.3333333333333333</v>
      </c>
      <c r="V7" s="21">
        <f t="shared" ref="V7:V11" si="6">(U7-T7)*24</f>
        <v>0</v>
      </c>
      <c r="W7" s="13" t="s">
        <v>43</v>
      </c>
      <c r="X7" s="4"/>
      <c r="Y7" s="4"/>
      <c r="Z7" s="4"/>
    </row>
    <row r="8">
      <c r="A8" s="15">
        <f t="shared" ref="A8:A21" si="7">A7+1</f>
        <v>46175</v>
      </c>
      <c r="B8" s="16" t="str">
        <f t="shared" si="3"/>
        <v>Tue</v>
      </c>
      <c r="C8" s="17">
        <v>7.5</v>
      </c>
      <c r="D8" s="17"/>
      <c r="E8" s="18"/>
      <c r="F8" s="18"/>
      <c r="G8" s="18" t="str">
        <f>IF(COUNTIF(Holidays!$A$2:$A$12,$A8)&gt;0, 8,"")</f>
        <v/>
      </c>
      <c r="H8" s="18"/>
      <c r="I8" s="18"/>
      <c r="J8" s="18"/>
      <c r="K8" s="18"/>
      <c r="L8" s="18"/>
      <c r="M8" s="16">
        <f t="shared" si="4"/>
        <v>7.5</v>
      </c>
      <c r="N8" s="16">
        <f t="shared" si="5"/>
        <v>8</v>
      </c>
      <c r="O8" s="4"/>
      <c r="P8" s="20">
        <v>0.28125</v>
      </c>
      <c r="Q8" s="20">
        <v>0.6770833333333334</v>
      </c>
      <c r="R8" s="21">
        <f>(Q8-P8)*24-2</f>
        <v>7.5</v>
      </c>
      <c r="S8" s="4"/>
      <c r="T8" s="23">
        <v>0.4270833333333333</v>
      </c>
      <c r="U8" s="20">
        <v>0.6770833333333334</v>
      </c>
      <c r="V8" s="21">
        <f t="shared" si="6"/>
        <v>6</v>
      </c>
      <c r="W8" s="13" t="s">
        <v>44</v>
      </c>
      <c r="X8" s="4"/>
      <c r="Y8" s="4"/>
      <c r="Z8" s="4"/>
    </row>
    <row r="9">
      <c r="A9" s="15">
        <f t="shared" si="7"/>
        <v>46176</v>
      </c>
      <c r="B9" s="16" t="str">
        <f t="shared" si="3"/>
        <v>Wed</v>
      </c>
      <c r="C9" s="17">
        <v>8.0</v>
      </c>
      <c r="D9" s="17">
        <v>0.75</v>
      </c>
      <c r="E9" s="18"/>
      <c r="F9" s="18"/>
      <c r="G9" s="18" t="str">
        <f>IF(COUNTIF(Holidays!$A$2:$A$12,$A9)&gt;0, 8,"")</f>
        <v/>
      </c>
      <c r="H9" s="18"/>
      <c r="I9" s="18"/>
      <c r="J9" s="18"/>
      <c r="K9" s="18"/>
      <c r="L9" s="18"/>
      <c r="M9" s="16">
        <f t="shared" si="4"/>
        <v>8.75</v>
      </c>
      <c r="N9" s="16">
        <f t="shared" si="5"/>
        <v>8</v>
      </c>
      <c r="O9" s="4"/>
      <c r="P9" s="20">
        <v>0.3645833333333333</v>
      </c>
      <c r="Q9" s="20">
        <v>0.7291666666666666</v>
      </c>
      <c r="R9" s="21">
        <f t="shared" ref="R9:R11" si="8">(Q9-P9)*24</f>
        <v>8.75</v>
      </c>
      <c r="S9" s="4"/>
      <c r="T9" s="20">
        <v>0.4166666666666667</v>
      </c>
      <c r="U9" s="20">
        <v>0.7291666666666666</v>
      </c>
      <c r="V9" s="21">
        <f t="shared" si="6"/>
        <v>7.5</v>
      </c>
      <c r="W9" s="13" t="s">
        <v>45</v>
      </c>
      <c r="X9" s="13" t="s">
        <v>46</v>
      </c>
      <c r="Y9" s="4"/>
      <c r="Z9" s="4"/>
    </row>
    <row r="10">
      <c r="A10" s="15">
        <f t="shared" si="7"/>
        <v>46177</v>
      </c>
      <c r="B10" s="16" t="str">
        <f t="shared" si="3"/>
        <v>Thu</v>
      </c>
      <c r="C10" s="17">
        <v>8.0</v>
      </c>
      <c r="D10" s="17"/>
      <c r="E10" s="18"/>
      <c r="F10" s="18"/>
      <c r="G10" s="18" t="str">
        <f>IF(COUNTIF(Holidays!$A$2:$A$12,$A10)&gt;0, 8,"")</f>
        <v/>
      </c>
      <c r="H10" s="18"/>
      <c r="I10" s="18"/>
      <c r="J10" s="18"/>
      <c r="K10" s="18"/>
      <c r="L10" s="18"/>
      <c r="M10" s="16">
        <f t="shared" si="4"/>
        <v>8</v>
      </c>
      <c r="N10" s="16">
        <f t="shared" si="5"/>
        <v>8</v>
      </c>
      <c r="O10" s="4"/>
      <c r="P10" s="20">
        <v>0.3784722222222222</v>
      </c>
      <c r="Q10" s="20">
        <v>0.7118055555555556</v>
      </c>
      <c r="R10" s="21">
        <f t="shared" si="8"/>
        <v>8</v>
      </c>
      <c r="S10" s="4"/>
      <c r="T10" s="20">
        <v>0.4201388888888889</v>
      </c>
      <c r="U10" s="20">
        <v>0.75</v>
      </c>
      <c r="V10" s="21">
        <f t="shared" si="6"/>
        <v>7.916666667</v>
      </c>
      <c r="W10" s="13" t="s">
        <v>45</v>
      </c>
      <c r="X10" s="13" t="s">
        <v>48</v>
      </c>
      <c r="Y10" s="4"/>
      <c r="Z10" s="4"/>
    </row>
    <row r="11">
      <c r="A11" s="15">
        <f t="shared" si="7"/>
        <v>46178</v>
      </c>
      <c r="B11" s="16" t="str">
        <f t="shared" si="3"/>
        <v>Fri</v>
      </c>
      <c r="C11" s="17">
        <v>8.0</v>
      </c>
      <c r="D11" s="17"/>
      <c r="E11" s="18"/>
      <c r="F11" s="18"/>
      <c r="G11" s="18" t="str">
        <f>IF(COUNTIF(Holidays!$A$2:$A$12,$A11)&gt;0, 8,"")</f>
        <v/>
      </c>
      <c r="H11" s="18"/>
      <c r="I11" s="18"/>
      <c r="J11" s="18"/>
      <c r="K11" s="18"/>
      <c r="L11" s="18"/>
      <c r="M11" s="16">
        <f t="shared" si="4"/>
        <v>8</v>
      </c>
      <c r="N11" s="16">
        <f t="shared" si="5"/>
        <v>8</v>
      </c>
      <c r="O11" s="4"/>
      <c r="P11" s="20">
        <v>0.3645833333333333</v>
      </c>
      <c r="Q11" s="20">
        <v>0.6979166666666666</v>
      </c>
      <c r="R11" s="21">
        <f t="shared" si="8"/>
        <v>8</v>
      </c>
      <c r="S11" s="4"/>
      <c r="T11" s="20">
        <v>0.3541666666666667</v>
      </c>
      <c r="U11" s="20">
        <v>0.6423611111111112</v>
      </c>
      <c r="V11" s="21">
        <f t="shared" si="6"/>
        <v>6.916666667</v>
      </c>
      <c r="W11" s="13" t="s">
        <v>51</v>
      </c>
      <c r="X11" s="23"/>
      <c r="Y11" s="4"/>
      <c r="Z11" s="4"/>
    </row>
    <row r="12">
      <c r="A12" s="15">
        <f t="shared" si="7"/>
        <v>46179</v>
      </c>
      <c r="B12" s="16" t="str">
        <f t="shared" si="3"/>
        <v>Sat</v>
      </c>
      <c r="C12" s="17"/>
      <c r="D12" s="18"/>
      <c r="E12" s="18"/>
      <c r="F12" s="18"/>
      <c r="G12" s="18" t="str">
        <f>IF(COUNTIF(Holidays!$A$2:$A$12,$A12)&gt;0, 8,"")</f>
        <v/>
      </c>
      <c r="H12" s="18"/>
      <c r="I12" s="18"/>
      <c r="J12" s="18"/>
      <c r="K12" s="18"/>
      <c r="L12" s="18"/>
      <c r="M12" s="16" t="str">
        <f t="shared" si="4"/>
        <v/>
      </c>
      <c r="N12" s="16" t="str">
        <f t="shared" si="5"/>
        <v/>
      </c>
      <c r="O12" s="4"/>
      <c r="P12" s="20"/>
      <c r="Q12" s="20"/>
      <c r="R12" s="21"/>
      <c r="S12" s="4"/>
      <c r="T12" s="4"/>
      <c r="U12" s="4"/>
      <c r="V12" s="21"/>
      <c r="W12" s="4"/>
      <c r="X12" s="4"/>
      <c r="Y12" s="4"/>
      <c r="Z12" s="4"/>
    </row>
    <row r="13">
      <c r="A13" s="15">
        <f t="shared" si="7"/>
        <v>46180</v>
      </c>
      <c r="B13" s="16" t="str">
        <f t="shared" si="3"/>
        <v>Sun</v>
      </c>
      <c r="C13" s="17"/>
      <c r="D13" s="18"/>
      <c r="E13" s="18"/>
      <c r="F13" s="18"/>
      <c r="G13" s="18" t="str">
        <f>IF(COUNTIF(Holidays!$A$2:$A$12,$A13)&gt;0, 8,"")</f>
        <v/>
      </c>
      <c r="H13" s="18"/>
      <c r="I13" s="18"/>
      <c r="J13" s="18"/>
      <c r="K13" s="18"/>
      <c r="L13" s="18"/>
      <c r="M13" s="16" t="str">
        <f t="shared" si="4"/>
        <v/>
      </c>
      <c r="N13" s="16" t="str">
        <f t="shared" si="5"/>
        <v/>
      </c>
      <c r="O13" s="4"/>
      <c r="P13" s="20"/>
      <c r="Q13" s="20"/>
      <c r="R13" s="21"/>
      <c r="S13" s="4"/>
      <c r="T13" s="4"/>
      <c r="U13" s="4"/>
      <c r="V13" s="21"/>
      <c r="W13" s="4"/>
      <c r="X13" s="4"/>
      <c r="Y13" s="4"/>
      <c r="Z13" s="4"/>
    </row>
    <row r="14">
      <c r="A14" s="15">
        <f t="shared" si="7"/>
        <v>46181</v>
      </c>
      <c r="B14" s="16" t="str">
        <f t="shared" si="3"/>
        <v>Mon</v>
      </c>
      <c r="C14" s="17">
        <v>8.0</v>
      </c>
      <c r="D14" s="17"/>
      <c r="E14" s="18"/>
      <c r="F14" s="18"/>
      <c r="G14" s="18" t="str">
        <f>IF(COUNTIF(Holidays!$A$2:$A$12,$A14)&gt;0, 8,"")</f>
        <v/>
      </c>
      <c r="H14" s="18"/>
      <c r="I14" s="18"/>
      <c r="J14" s="18"/>
      <c r="K14" s="18"/>
      <c r="L14" s="18"/>
      <c r="M14" s="16">
        <f t="shared" si="4"/>
        <v>8</v>
      </c>
      <c r="N14" s="16">
        <f t="shared" si="5"/>
        <v>8</v>
      </c>
      <c r="O14" s="4"/>
      <c r="P14" s="20">
        <v>0.375</v>
      </c>
      <c r="Q14" s="20">
        <v>0.7083333333333334</v>
      </c>
      <c r="R14" s="21">
        <f t="shared" ref="R14:R17" si="9">(Q14-P14)*24</f>
        <v>8</v>
      </c>
      <c r="S14" s="4"/>
      <c r="T14" s="20">
        <v>0.4222222222222222</v>
      </c>
      <c r="U14" s="20">
        <v>0.75</v>
      </c>
      <c r="V14" s="21">
        <f t="shared" ref="V14:V18" si="10">(U14-T14)*24</f>
        <v>7.866666667</v>
      </c>
      <c r="W14" s="13" t="s">
        <v>52</v>
      </c>
      <c r="X14" s="4"/>
      <c r="Y14" s="4"/>
      <c r="Z14" s="4"/>
    </row>
    <row r="15">
      <c r="A15" s="15">
        <f t="shared" si="7"/>
        <v>46182</v>
      </c>
      <c r="B15" s="16" t="str">
        <f t="shared" si="3"/>
        <v>Tue</v>
      </c>
      <c r="C15" s="17">
        <v>8.0</v>
      </c>
      <c r="D15" s="17"/>
      <c r="E15" s="18"/>
      <c r="F15" s="18"/>
      <c r="G15" s="18" t="str">
        <f>IF(COUNTIF(Holidays!$A$2:$A$12,$A15)&gt;0, 8,"")</f>
        <v/>
      </c>
      <c r="H15" s="18"/>
      <c r="I15" s="18"/>
      <c r="J15" s="18"/>
      <c r="K15" s="18"/>
      <c r="L15" s="18"/>
      <c r="M15" s="16">
        <f t="shared" si="4"/>
        <v>8</v>
      </c>
      <c r="N15" s="16">
        <f t="shared" si="5"/>
        <v>8</v>
      </c>
      <c r="O15" s="4"/>
      <c r="P15" s="20">
        <v>0.375</v>
      </c>
      <c r="Q15" s="20">
        <v>0.7083333333333334</v>
      </c>
      <c r="R15" s="21">
        <f t="shared" si="9"/>
        <v>8</v>
      </c>
      <c r="S15" s="4"/>
      <c r="T15" s="20">
        <v>0.2708333333333333</v>
      </c>
      <c r="U15" s="20">
        <v>0.75</v>
      </c>
      <c r="V15" s="21">
        <f t="shared" si="10"/>
        <v>11.5</v>
      </c>
      <c r="W15" s="13" t="s">
        <v>52</v>
      </c>
      <c r="X15" s="4"/>
      <c r="Y15" s="4"/>
      <c r="Z15" s="4"/>
    </row>
    <row r="16">
      <c r="A16" s="15">
        <f t="shared" si="7"/>
        <v>46183</v>
      </c>
      <c r="B16" s="16" t="str">
        <f t="shared" si="3"/>
        <v>Wed</v>
      </c>
      <c r="C16" s="17">
        <v>7.5</v>
      </c>
      <c r="D16" s="17"/>
      <c r="E16" s="18"/>
      <c r="F16" s="18"/>
      <c r="G16" s="18" t="str">
        <f>IF(COUNTIF(Holidays!$A$2:$A$12,$A16)&gt;0, 8,"")</f>
        <v/>
      </c>
      <c r="H16" s="18"/>
      <c r="I16" s="18"/>
      <c r="J16" s="18"/>
      <c r="K16" s="18"/>
      <c r="L16" s="18"/>
      <c r="M16" s="16">
        <f t="shared" si="4"/>
        <v>7.5</v>
      </c>
      <c r="N16" s="16">
        <f t="shared" si="5"/>
        <v>8</v>
      </c>
      <c r="O16" s="4"/>
      <c r="P16" s="20">
        <v>0.3888888888888889</v>
      </c>
      <c r="Q16" s="20">
        <v>0.7013888888888888</v>
      </c>
      <c r="R16" s="21">
        <f t="shared" si="9"/>
        <v>7.5</v>
      </c>
      <c r="S16" s="4"/>
      <c r="T16" s="20">
        <v>0.2708333333333333</v>
      </c>
      <c r="U16" s="20">
        <v>0.75</v>
      </c>
      <c r="V16" s="21">
        <f t="shared" si="10"/>
        <v>11.5</v>
      </c>
      <c r="W16" s="13" t="s">
        <v>52</v>
      </c>
      <c r="X16" s="4"/>
      <c r="Y16" s="4"/>
      <c r="Z16" s="4"/>
    </row>
    <row r="17">
      <c r="A17" s="15">
        <f t="shared" si="7"/>
        <v>46184</v>
      </c>
      <c r="B17" s="16" t="str">
        <f t="shared" si="3"/>
        <v>Thu</v>
      </c>
      <c r="C17" s="17">
        <v>8.5</v>
      </c>
      <c r="D17" s="17"/>
      <c r="E17" s="18"/>
      <c r="F17" s="18"/>
      <c r="G17" s="18" t="str">
        <f>IF(COUNTIF(Holidays!$A$2:$A$12,$A17)&gt;0, 8,"")</f>
        <v/>
      </c>
      <c r="H17" s="18"/>
      <c r="I17" s="18"/>
      <c r="J17" s="18"/>
      <c r="K17" s="18"/>
      <c r="L17" s="18"/>
      <c r="M17" s="16">
        <f t="shared" si="4"/>
        <v>8.5</v>
      </c>
      <c r="N17" s="16">
        <f t="shared" si="5"/>
        <v>8</v>
      </c>
      <c r="O17" s="4"/>
      <c r="P17" s="20">
        <v>0.3854166666666667</v>
      </c>
      <c r="Q17" s="20">
        <v>0.7395833333333334</v>
      </c>
      <c r="R17" s="21">
        <f t="shared" si="9"/>
        <v>8.5</v>
      </c>
      <c r="S17" s="4"/>
      <c r="T17" s="20">
        <v>0.2708333333333333</v>
      </c>
      <c r="U17" s="20">
        <v>0.6979166666666666</v>
      </c>
      <c r="V17" s="21">
        <f t="shared" si="10"/>
        <v>10.25</v>
      </c>
      <c r="W17" s="13" t="s">
        <v>52</v>
      </c>
      <c r="X17" s="4"/>
      <c r="Y17" s="4"/>
      <c r="Z17" s="4"/>
    </row>
    <row r="18">
      <c r="A18" s="15">
        <f t="shared" si="7"/>
        <v>46185</v>
      </c>
      <c r="B18" s="16" t="str">
        <f t="shared" si="3"/>
        <v>Fri</v>
      </c>
      <c r="C18" s="17">
        <v>8.0</v>
      </c>
      <c r="D18" s="17">
        <v>0.25</v>
      </c>
      <c r="E18" s="18"/>
      <c r="F18" s="18"/>
      <c r="G18" s="18" t="str">
        <f>IF(COUNTIF(Holidays!$A$2:$A$12,$A18)&gt;0, 8,"")</f>
        <v/>
      </c>
      <c r="H18" s="18"/>
      <c r="I18" s="18"/>
      <c r="J18" s="18"/>
      <c r="K18" s="18"/>
      <c r="L18" s="18"/>
      <c r="M18" s="16">
        <f t="shared" si="4"/>
        <v>8.25</v>
      </c>
      <c r="N18" s="16">
        <f t="shared" si="5"/>
        <v>8</v>
      </c>
      <c r="O18" s="4"/>
      <c r="P18" s="20">
        <v>0.3645833333333333</v>
      </c>
      <c r="Q18" s="20">
        <v>0.7083333333333334</v>
      </c>
      <c r="R18" s="22">
        <v>8.25</v>
      </c>
      <c r="S18" s="4"/>
      <c r="T18" s="20">
        <v>0.4166666666666667</v>
      </c>
      <c r="U18" s="20">
        <v>0.75</v>
      </c>
      <c r="V18" s="21">
        <f t="shared" si="10"/>
        <v>8</v>
      </c>
      <c r="W18" s="4"/>
      <c r="X18" s="4"/>
      <c r="Y18" s="4"/>
      <c r="Z18" s="4"/>
    </row>
    <row r="19">
      <c r="A19" s="15">
        <f t="shared" si="7"/>
        <v>46186</v>
      </c>
      <c r="B19" s="16" t="str">
        <f t="shared" si="3"/>
        <v>Sat</v>
      </c>
      <c r="C19" s="17"/>
      <c r="D19" s="18"/>
      <c r="E19" s="18"/>
      <c r="F19" s="18"/>
      <c r="G19" s="18" t="str">
        <f>IF(COUNTIF(Holidays!$A$2:$A$12,$A19)&gt;0, 8,"")</f>
        <v/>
      </c>
      <c r="H19" s="18"/>
      <c r="I19" s="18"/>
      <c r="J19" s="18"/>
      <c r="K19" s="18"/>
      <c r="L19" s="18"/>
      <c r="M19" s="16" t="str">
        <f t="shared" si="4"/>
        <v/>
      </c>
      <c r="N19" s="16" t="str">
        <f t="shared" si="5"/>
        <v/>
      </c>
      <c r="O19" s="4"/>
      <c r="P19" s="20"/>
      <c r="Q19" s="20"/>
      <c r="R19" s="21"/>
      <c r="S19" s="4"/>
      <c r="T19" s="4"/>
      <c r="U19" s="4"/>
      <c r="V19" s="21"/>
      <c r="W19" s="4"/>
      <c r="X19" s="4"/>
      <c r="Y19" s="4"/>
      <c r="Z19" s="4"/>
    </row>
    <row r="20">
      <c r="A20" s="15">
        <f t="shared" si="7"/>
        <v>46187</v>
      </c>
      <c r="B20" s="16" t="str">
        <f t="shared" si="3"/>
        <v>Sun</v>
      </c>
      <c r="C20" s="17"/>
      <c r="D20" s="18"/>
      <c r="E20" s="18"/>
      <c r="F20" s="18"/>
      <c r="G20" s="18" t="str">
        <f>IF(COUNTIF(Holidays!$A$2:$A$12,$A20)&gt;0, 8,"")</f>
        <v/>
      </c>
      <c r="H20" s="18"/>
      <c r="I20" s="18"/>
      <c r="J20" s="18"/>
      <c r="K20" s="18"/>
      <c r="L20" s="18"/>
      <c r="M20" s="16" t="str">
        <f t="shared" si="4"/>
        <v/>
      </c>
      <c r="N20" s="16" t="str">
        <f t="shared" si="5"/>
        <v/>
      </c>
      <c r="O20" s="4"/>
      <c r="P20" s="20"/>
      <c r="Q20" s="20"/>
      <c r="R20" s="21"/>
      <c r="S20" s="4"/>
      <c r="T20" s="4"/>
      <c r="U20" s="4"/>
      <c r="V20" s="21"/>
      <c r="W20" s="4"/>
      <c r="X20" s="4"/>
      <c r="Y20" s="4"/>
      <c r="Z20" s="4"/>
    </row>
    <row r="21">
      <c r="A21" s="15">
        <f t="shared" si="7"/>
        <v>46188</v>
      </c>
      <c r="B21" s="16" t="str">
        <f t="shared" si="3"/>
        <v>Mon</v>
      </c>
      <c r="C21" s="17">
        <v>8.0</v>
      </c>
      <c r="D21" s="17">
        <v>1.0</v>
      </c>
      <c r="E21" s="18"/>
      <c r="F21" s="18"/>
      <c r="G21" s="18" t="str">
        <f>IF(COUNTIF(Holidays!$A$2:$A$12,$A21)&gt;0, 8,"")</f>
        <v/>
      </c>
      <c r="H21" s="18"/>
      <c r="I21" s="18"/>
      <c r="J21" s="18"/>
      <c r="K21" s="18"/>
      <c r="L21" s="18"/>
      <c r="M21" s="16">
        <f t="shared" si="4"/>
        <v>9</v>
      </c>
      <c r="N21" s="16">
        <f t="shared" si="5"/>
        <v>8</v>
      </c>
      <c r="O21" s="4"/>
      <c r="P21" s="20">
        <v>0.3125</v>
      </c>
      <c r="Q21" s="20">
        <v>0.6875</v>
      </c>
      <c r="R21" s="21">
        <f>(Q21-P21)*24</f>
        <v>9</v>
      </c>
      <c r="S21" s="4"/>
      <c r="T21" s="20">
        <v>0.4166666666666667</v>
      </c>
      <c r="U21" s="20">
        <v>0.75</v>
      </c>
      <c r="V21" s="21">
        <f>(U21-T21)*24</f>
        <v>8</v>
      </c>
      <c r="W21" s="4"/>
      <c r="X21" s="4"/>
      <c r="Y21" s="4"/>
      <c r="Z21" s="4"/>
    </row>
    <row r="22">
      <c r="A22" s="2" t="s">
        <v>47</v>
      </c>
      <c r="C22" s="14">
        <f t="shared" ref="C22:N22" si="11">sum(C7:C21)</f>
        <v>88</v>
      </c>
      <c r="D22" s="14">
        <f t="shared" si="11"/>
        <v>2</v>
      </c>
      <c r="E22" s="14">
        <f t="shared" si="11"/>
        <v>0</v>
      </c>
      <c r="F22" s="14">
        <f t="shared" si="11"/>
        <v>0</v>
      </c>
      <c r="G22" s="14">
        <f t="shared" si="11"/>
        <v>0</v>
      </c>
      <c r="H22" s="14">
        <f t="shared" si="11"/>
        <v>0</v>
      </c>
      <c r="I22" s="14">
        <f t="shared" si="11"/>
        <v>0</v>
      </c>
      <c r="J22" s="14">
        <f t="shared" si="11"/>
        <v>0</v>
      </c>
      <c r="K22" s="14">
        <f t="shared" si="11"/>
        <v>0</v>
      </c>
      <c r="L22" s="14">
        <f t="shared" si="11"/>
        <v>0</v>
      </c>
      <c r="M22" s="14">
        <f t="shared" si="11"/>
        <v>90</v>
      </c>
      <c r="N22" s="14">
        <f t="shared" si="11"/>
        <v>88</v>
      </c>
      <c r="O22" s="4"/>
      <c r="P22" s="4"/>
      <c r="Q22" s="4"/>
      <c r="R22" s="24">
        <f>sum(R7:R21)</f>
        <v>90</v>
      </c>
      <c r="S22" s="4"/>
      <c r="T22" s="4"/>
      <c r="U22" s="4"/>
      <c r="V22" s="21">
        <f>sum(V7:V21)</f>
        <v>85.45</v>
      </c>
      <c r="W22" s="4"/>
      <c r="X22" s="4"/>
      <c r="Y22" s="4"/>
      <c r="Z22" s="4"/>
    </row>
    <row r="23">
      <c r="A23" s="4"/>
      <c r="B23" s="4"/>
      <c r="C23" s="4"/>
      <c r="D23" s="4"/>
      <c r="E23" s="4"/>
      <c r="F23" s="4"/>
      <c r="G23" s="4"/>
      <c r="H23" s="4"/>
      <c r="I23" s="4"/>
      <c r="J23" s="4"/>
      <c r="K23" s="4"/>
      <c r="L23" s="4"/>
      <c r="M23" s="4"/>
      <c r="N23" s="4"/>
      <c r="O23" s="4"/>
      <c r="P23" s="4"/>
      <c r="Q23" s="4"/>
      <c r="R23" s="21"/>
      <c r="S23" s="4"/>
      <c r="T23" s="4"/>
      <c r="U23" s="4"/>
      <c r="V23" s="21"/>
      <c r="W23" s="4"/>
      <c r="X23" s="4"/>
      <c r="Y23" s="4"/>
      <c r="Z23" s="4"/>
    </row>
    <row r="24">
      <c r="A24" s="4"/>
      <c r="B24" s="4"/>
      <c r="C24" s="4"/>
      <c r="D24" s="4"/>
      <c r="E24" s="4"/>
      <c r="F24" s="4"/>
      <c r="G24" s="4"/>
      <c r="H24" s="4"/>
      <c r="I24" s="4"/>
      <c r="J24" s="4"/>
      <c r="K24" s="4"/>
      <c r="L24" s="4"/>
      <c r="M24" s="4"/>
      <c r="N24" s="4"/>
      <c r="O24" s="4"/>
      <c r="P24" s="4"/>
      <c r="Q24" s="4"/>
      <c r="R24" s="21"/>
      <c r="S24" s="4"/>
      <c r="T24" s="4"/>
      <c r="U24" s="4"/>
      <c r="V24" s="21"/>
      <c r="W24" s="4"/>
      <c r="X24" s="4"/>
      <c r="Y24" s="4"/>
      <c r="Z24" s="4"/>
    </row>
    <row r="25">
      <c r="A25" s="2" t="s">
        <v>49</v>
      </c>
      <c r="B25" s="2" t="s">
        <v>30</v>
      </c>
      <c r="C25" s="14" t="str">
        <f t="array" ref="C25:L25">transpose('Time Types'!A2:A11)</f>
        <v>Regular</v>
      </c>
      <c r="D25" s="14" t="s">
        <v>31</v>
      </c>
      <c r="E25" s="14" t="s">
        <v>32</v>
      </c>
      <c r="F25" s="14" t="s">
        <v>12</v>
      </c>
      <c r="G25" s="14" t="s">
        <v>33</v>
      </c>
      <c r="H25" s="14" t="s">
        <v>34</v>
      </c>
      <c r="I25" s="14" t="s">
        <v>14</v>
      </c>
      <c r="J25" s="14" t="s">
        <v>16</v>
      </c>
      <c r="K25" s="14" t="s">
        <v>35</v>
      </c>
      <c r="L25" s="14" t="s">
        <v>36</v>
      </c>
      <c r="M25" s="2" t="s">
        <v>37</v>
      </c>
      <c r="N25" s="2" t="s">
        <v>38</v>
      </c>
      <c r="O25" s="4"/>
      <c r="P25" s="20"/>
      <c r="Q25" s="19"/>
      <c r="R25" s="21"/>
      <c r="S25" s="4"/>
      <c r="T25" s="4"/>
      <c r="U25" s="4"/>
      <c r="V25" s="21"/>
      <c r="W25" s="4"/>
      <c r="X25" s="4"/>
      <c r="Y25" s="4"/>
      <c r="Z25" s="4"/>
    </row>
    <row r="26">
      <c r="A26" s="15">
        <f>A21+1</f>
        <v>46189</v>
      </c>
      <c r="B26" s="16" t="str">
        <f t="shared" ref="B26:B40" si="12">text(A26,"ddd")</f>
        <v>Tue</v>
      </c>
      <c r="C26" s="17">
        <v>8.0</v>
      </c>
      <c r="D26" s="17"/>
      <c r="E26" s="18"/>
      <c r="F26" s="18"/>
      <c r="G26" s="18" t="str">
        <f>IF(COUNTIF(Holidays!$A$2:$A$12,$A26)&gt;0, 8,"")</f>
        <v/>
      </c>
      <c r="H26" s="18"/>
      <c r="I26" s="18"/>
      <c r="J26" s="18"/>
      <c r="K26" s="18"/>
      <c r="L26" s="18"/>
      <c r="M26" s="16">
        <f t="shared" ref="M26:M40" si="13">IF(OR(B26="Sat", B26="Sun"), "", sum(C26:J26))</f>
        <v>8</v>
      </c>
      <c r="N26" s="16">
        <f t="shared" ref="N26:N40" si="14">IF(OR(B26="Sat", B26="Sun"), "", 8)</f>
        <v>8</v>
      </c>
      <c r="O26" s="4"/>
      <c r="P26" s="20">
        <v>0.375</v>
      </c>
      <c r="Q26" s="20">
        <v>0.7083333333333334</v>
      </c>
      <c r="R26" s="21">
        <f t="shared" ref="R26:R29" si="15">(Q26-P26)*24</f>
        <v>8</v>
      </c>
      <c r="S26" s="4"/>
      <c r="T26" s="20">
        <v>0.3333333333333333</v>
      </c>
      <c r="U26" s="20">
        <v>0.6666666666666666</v>
      </c>
      <c r="V26" s="21">
        <f t="shared" ref="V26:V29" si="16">(U26-T26)*24</f>
        <v>8</v>
      </c>
      <c r="W26" s="13" t="s">
        <v>59</v>
      </c>
      <c r="X26" s="4"/>
      <c r="Y26" s="4"/>
      <c r="Z26" s="4"/>
    </row>
    <row r="27">
      <c r="A27" s="15">
        <f t="shared" ref="A27:A40" si="17">A26+1</f>
        <v>46190</v>
      </c>
      <c r="B27" s="16" t="str">
        <f t="shared" si="12"/>
        <v>Wed</v>
      </c>
      <c r="C27" s="17">
        <v>8.0</v>
      </c>
      <c r="D27" s="17"/>
      <c r="E27" s="18"/>
      <c r="F27" s="18"/>
      <c r="G27" s="18" t="str">
        <f>IF(COUNTIF(Holidays!$A$2:$A$12,$A27)&gt;0, 8,"")</f>
        <v/>
      </c>
      <c r="H27" s="18"/>
      <c r="I27" s="18"/>
      <c r="J27" s="18"/>
      <c r="K27" s="18"/>
      <c r="L27" s="18"/>
      <c r="M27" s="16">
        <f t="shared" si="13"/>
        <v>8</v>
      </c>
      <c r="N27" s="16">
        <f t="shared" si="14"/>
        <v>8</v>
      </c>
      <c r="O27" s="4"/>
      <c r="P27" s="20">
        <v>0.3333333333333333</v>
      </c>
      <c r="Q27" s="20">
        <v>0.6666666666666666</v>
      </c>
      <c r="R27" s="21">
        <f t="shared" si="15"/>
        <v>8</v>
      </c>
      <c r="S27" s="4"/>
      <c r="T27" s="20">
        <v>0.3333333333333333</v>
      </c>
      <c r="U27" s="20">
        <v>0.6666666666666666</v>
      </c>
      <c r="V27" s="21">
        <f t="shared" si="16"/>
        <v>8</v>
      </c>
      <c r="W27" s="13" t="s">
        <v>59</v>
      </c>
      <c r="X27" s="4"/>
      <c r="Y27" s="4"/>
      <c r="Z27" s="4"/>
    </row>
    <row r="28">
      <c r="A28" s="15">
        <f t="shared" si="17"/>
        <v>46191</v>
      </c>
      <c r="B28" s="16" t="str">
        <f t="shared" si="12"/>
        <v>Thu</v>
      </c>
      <c r="C28" s="17"/>
      <c r="D28" s="17"/>
      <c r="E28" s="18"/>
      <c r="F28" s="17">
        <v>8.0</v>
      </c>
      <c r="G28" s="18" t="str">
        <f>IF(COUNTIF(Holidays!$A$2:$A$12,$A28)&gt;0, 8,"")</f>
        <v/>
      </c>
      <c r="H28" s="18"/>
      <c r="I28" s="18"/>
      <c r="J28" s="18"/>
      <c r="K28" s="18"/>
      <c r="L28" s="18"/>
      <c r="M28" s="16">
        <f t="shared" si="13"/>
        <v>8</v>
      </c>
      <c r="N28" s="16">
        <f t="shared" si="14"/>
        <v>8</v>
      </c>
      <c r="O28" s="4"/>
      <c r="P28" s="20">
        <v>0.3333333333333333</v>
      </c>
      <c r="Q28" s="20">
        <v>0.6666666666666666</v>
      </c>
      <c r="R28" s="21">
        <f t="shared" si="15"/>
        <v>8</v>
      </c>
      <c r="S28" s="4"/>
      <c r="T28" s="20">
        <v>0.3333333333333333</v>
      </c>
      <c r="U28" s="20">
        <v>0.6666666666666666</v>
      </c>
      <c r="V28" s="21">
        <f t="shared" si="16"/>
        <v>8</v>
      </c>
      <c r="W28" s="13" t="s">
        <v>60</v>
      </c>
      <c r="X28" s="4"/>
      <c r="Y28" s="4"/>
      <c r="Z28" s="4"/>
    </row>
    <row r="29">
      <c r="A29" s="15">
        <f t="shared" si="17"/>
        <v>46192</v>
      </c>
      <c r="B29" s="16" t="str">
        <f t="shared" si="12"/>
        <v>Fri</v>
      </c>
      <c r="C29" s="17"/>
      <c r="D29" s="18"/>
      <c r="E29" s="18"/>
      <c r="F29" s="18"/>
      <c r="G29" s="18">
        <f>IF(COUNTIF(Holidays!$A$2:$A$12,$A29)&gt;0, 8,"")</f>
        <v>8</v>
      </c>
      <c r="H29" s="18"/>
      <c r="I29" s="18"/>
      <c r="J29" s="18"/>
      <c r="K29" s="18"/>
      <c r="L29" s="18"/>
      <c r="M29" s="16">
        <f t="shared" si="13"/>
        <v>8</v>
      </c>
      <c r="N29" s="16">
        <f t="shared" si="14"/>
        <v>8</v>
      </c>
      <c r="O29" s="4"/>
      <c r="P29" s="20">
        <v>0.3333333333333333</v>
      </c>
      <c r="Q29" s="20">
        <v>0.6666666666666666</v>
      </c>
      <c r="R29" s="21">
        <f t="shared" si="15"/>
        <v>8</v>
      </c>
      <c r="S29" s="4"/>
      <c r="T29" s="20">
        <v>0.3333333333333333</v>
      </c>
      <c r="U29" s="20">
        <v>0.6666666666666666</v>
      </c>
      <c r="V29" s="21">
        <f t="shared" si="16"/>
        <v>8</v>
      </c>
      <c r="W29" s="13" t="s">
        <v>61</v>
      </c>
      <c r="X29" s="4"/>
      <c r="Y29" s="4"/>
      <c r="Z29" s="4"/>
    </row>
    <row r="30">
      <c r="A30" s="15">
        <f t="shared" si="17"/>
        <v>46193</v>
      </c>
      <c r="B30" s="16" t="str">
        <f t="shared" si="12"/>
        <v>Sat</v>
      </c>
      <c r="C30" s="17"/>
      <c r="D30" s="18"/>
      <c r="E30" s="18"/>
      <c r="F30" s="18"/>
      <c r="G30" s="18" t="str">
        <f>IF(COUNTIF(Holidays!$A$2:$A$12,$A30)&gt;0, 8,"")</f>
        <v/>
      </c>
      <c r="H30" s="18"/>
      <c r="I30" s="18"/>
      <c r="J30" s="18"/>
      <c r="K30" s="18"/>
      <c r="L30" s="18"/>
      <c r="M30" s="16" t="str">
        <f t="shared" si="13"/>
        <v/>
      </c>
      <c r="N30" s="16" t="str">
        <f t="shared" si="14"/>
        <v/>
      </c>
      <c r="O30" s="4"/>
      <c r="P30" s="20"/>
      <c r="Q30" s="20"/>
      <c r="R30" s="21"/>
      <c r="S30" s="4"/>
      <c r="T30" s="4"/>
      <c r="U30" s="4"/>
      <c r="V30" s="21"/>
      <c r="W30" s="4"/>
      <c r="X30" s="4"/>
      <c r="Y30" s="4"/>
      <c r="Z30" s="4"/>
    </row>
    <row r="31">
      <c r="A31" s="15">
        <f t="shared" si="17"/>
        <v>46194</v>
      </c>
      <c r="B31" s="16" t="str">
        <f t="shared" si="12"/>
        <v>Sun</v>
      </c>
      <c r="C31" s="17"/>
      <c r="D31" s="18"/>
      <c r="E31" s="18"/>
      <c r="F31" s="18"/>
      <c r="G31" s="18" t="str">
        <f>IF(COUNTIF(Holidays!$A$2:$A$12,$A31)&gt;0, 8,"")</f>
        <v/>
      </c>
      <c r="H31" s="18"/>
      <c r="I31" s="18"/>
      <c r="J31" s="18"/>
      <c r="K31" s="18"/>
      <c r="L31" s="18"/>
      <c r="M31" s="16" t="str">
        <f t="shared" si="13"/>
        <v/>
      </c>
      <c r="N31" s="16" t="str">
        <f t="shared" si="14"/>
        <v/>
      </c>
      <c r="O31" s="4"/>
      <c r="P31" s="20"/>
      <c r="Q31" s="20"/>
      <c r="R31" s="21"/>
      <c r="S31" s="4"/>
      <c r="T31" s="4"/>
      <c r="U31" s="4"/>
      <c r="V31" s="21"/>
      <c r="W31" s="4"/>
      <c r="X31" s="4"/>
      <c r="Y31" s="4"/>
      <c r="Z31" s="4"/>
    </row>
    <row r="32">
      <c r="A32" s="15">
        <f t="shared" si="17"/>
        <v>46195</v>
      </c>
      <c r="B32" s="16" t="str">
        <f t="shared" si="12"/>
        <v>Mon</v>
      </c>
      <c r="C32" s="17">
        <v>9.0</v>
      </c>
      <c r="D32" s="17"/>
      <c r="E32" s="18"/>
      <c r="F32" s="18"/>
      <c r="G32" s="18" t="str">
        <f>IF(COUNTIF(Holidays!$A$2:$A$12,$A32)&gt;0, 8,"")</f>
        <v/>
      </c>
      <c r="H32" s="18"/>
      <c r="I32" s="18"/>
      <c r="J32" s="18"/>
      <c r="K32" s="18"/>
      <c r="L32" s="18"/>
      <c r="M32" s="16">
        <f t="shared" si="13"/>
        <v>9</v>
      </c>
      <c r="N32" s="16">
        <f t="shared" si="14"/>
        <v>8</v>
      </c>
      <c r="O32" s="4"/>
      <c r="P32" s="20">
        <v>0.3645833333333333</v>
      </c>
      <c r="Q32" s="20">
        <v>0.7395833333333334</v>
      </c>
      <c r="R32" s="21">
        <f t="shared" ref="R32:R33" si="18">(Q32-P32)*24</f>
        <v>9</v>
      </c>
      <c r="S32" s="4"/>
      <c r="T32" s="20">
        <v>0.3333333333333333</v>
      </c>
      <c r="U32" s="20">
        <v>0.6666666666666666</v>
      </c>
      <c r="V32" s="21">
        <f t="shared" ref="V32:V36" si="19">(U32-T32)*24</f>
        <v>8</v>
      </c>
      <c r="W32" s="4"/>
      <c r="X32" s="4"/>
      <c r="Y32" s="4"/>
      <c r="Z32" s="4"/>
    </row>
    <row r="33">
      <c r="A33" s="15">
        <f t="shared" si="17"/>
        <v>46196</v>
      </c>
      <c r="B33" s="16" t="str">
        <f t="shared" si="12"/>
        <v>Tue</v>
      </c>
      <c r="C33" s="17">
        <v>9.0</v>
      </c>
      <c r="D33" s="17"/>
      <c r="E33" s="18"/>
      <c r="F33" s="18"/>
      <c r="G33" s="18" t="str">
        <f>IF(COUNTIF(Holidays!$A$2:$A$12,$A33)&gt;0, 8,"")</f>
        <v/>
      </c>
      <c r="H33" s="18"/>
      <c r="I33" s="18"/>
      <c r="J33" s="18"/>
      <c r="K33" s="18"/>
      <c r="L33" s="18"/>
      <c r="M33" s="16">
        <f t="shared" si="13"/>
        <v>9</v>
      </c>
      <c r="N33" s="16">
        <f t="shared" si="14"/>
        <v>8</v>
      </c>
      <c r="O33" s="4"/>
      <c r="P33" s="20">
        <v>0.3576388888888889</v>
      </c>
      <c r="Q33" s="20">
        <v>0.7326388888888888</v>
      </c>
      <c r="R33" s="21">
        <f t="shared" si="18"/>
        <v>9</v>
      </c>
      <c r="S33" s="4"/>
      <c r="T33" s="20">
        <v>0.3333333333333333</v>
      </c>
      <c r="U33" s="20">
        <v>0.6666666666666666</v>
      </c>
      <c r="V33" s="21">
        <f t="shared" si="19"/>
        <v>8</v>
      </c>
      <c r="W33" s="4"/>
      <c r="X33" s="4"/>
      <c r="Y33" s="4"/>
      <c r="Z33" s="4"/>
    </row>
    <row r="34">
      <c r="A34" s="15">
        <f t="shared" si="17"/>
        <v>46197</v>
      </c>
      <c r="B34" s="16" t="str">
        <f t="shared" si="12"/>
        <v>Wed</v>
      </c>
      <c r="C34" s="17">
        <v>8.0</v>
      </c>
      <c r="D34" s="17"/>
      <c r="E34" s="18"/>
      <c r="F34" s="18"/>
      <c r="G34" s="18" t="str">
        <f>IF(COUNTIF(Holidays!$A$2:$A$12,$A34)&gt;0, 8,"")</f>
        <v/>
      </c>
      <c r="H34" s="18"/>
      <c r="I34" s="18"/>
      <c r="J34" s="18"/>
      <c r="K34" s="18"/>
      <c r="L34" s="18"/>
      <c r="M34" s="16">
        <f t="shared" si="13"/>
        <v>8</v>
      </c>
      <c r="N34" s="16">
        <f t="shared" si="14"/>
        <v>8</v>
      </c>
      <c r="O34" s="4"/>
      <c r="P34" s="20">
        <v>0.3645833333333333</v>
      </c>
      <c r="Q34" s="20">
        <v>0.6979166666666666</v>
      </c>
      <c r="R34" s="22">
        <v>8.0</v>
      </c>
      <c r="S34" s="4"/>
      <c r="T34" s="20">
        <v>0.3333333333333333</v>
      </c>
      <c r="U34" s="20">
        <v>0.6666666666666666</v>
      </c>
      <c r="V34" s="21">
        <f t="shared" si="19"/>
        <v>8</v>
      </c>
      <c r="W34" s="4"/>
      <c r="X34" s="4"/>
      <c r="Y34" s="4"/>
      <c r="Z34" s="4"/>
    </row>
    <row r="35">
      <c r="A35" s="15">
        <f t="shared" si="17"/>
        <v>46198</v>
      </c>
      <c r="B35" s="16" t="str">
        <f t="shared" si="12"/>
        <v>Thu</v>
      </c>
      <c r="C35" s="17">
        <v>8.75</v>
      </c>
      <c r="D35" s="17"/>
      <c r="E35" s="18"/>
      <c r="F35" s="18"/>
      <c r="G35" s="18" t="str">
        <f>IF(COUNTIF(Holidays!$A$2:$A$12,$A35)&gt;0, 8,"")</f>
        <v/>
      </c>
      <c r="H35" s="18"/>
      <c r="I35" s="18"/>
      <c r="J35" s="18"/>
      <c r="K35" s="18"/>
      <c r="L35" s="18"/>
      <c r="M35" s="16">
        <f t="shared" si="13"/>
        <v>8.75</v>
      </c>
      <c r="N35" s="16">
        <f t="shared" si="14"/>
        <v>8</v>
      </c>
      <c r="O35" s="4"/>
      <c r="P35" s="20">
        <v>0.375</v>
      </c>
      <c r="Q35" s="20">
        <v>0.7395833333333334</v>
      </c>
      <c r="R35" s="21">
        <f t="shared" ref="R35:R36" si="20">(Q35-P35)*24</f>
        <v>8.75</v>
      </c>
      <c r="S35" s="4"/>
      <c r="T35" s="20">
        <v>0.3333333333333333</v>
      </c>
      <c r="U35" s="20">
        <v>0.6666666666666666</v>
      </c>
      <c r="V35" s="21">
        <f t="shared" si="19"/>
        <v>8</v>
      </c>
      <c r="W35" s="4"/>
      <c r="X35" s="4"/>
      <c r="Y35" s="4"/>
      <c r="Z35" s="4"/>
    </row>
    <row r="36">
      <c r="A36" s="15">
        <f t="shared" si="17"/>
        <v>46199</v>
      </c>
      <c r="B36" s="16" t="str">
        <f t="shared" si="12"/>
        <v>Fri</v>
      </c>
      <c r="C36" s="17">
        <v>3.75</v>
      </c>
      <c r="D36" s="17"/>
      <c r="E36" s="17">
        <v>4.0</v>
      </c>
      <c r="F36" s="18"/>
      <c r="G36" s="18" t="str">
        <f>IF(COUNTIF(Holidays!$A$2:$A$12,$A36)&gt;0, 8,"")</f>
        <v/>
      </c>
      <c r="H36" s="18"/>
      <c r="I36" s="18"/>
      <c r="J36" s="18"/>
      <c r="K36" s="18"/>
      <c r="L36" s="18"/>
      <c r="M36" s="16">
        <f t="shared" si="13"/>
        <v>7.75</v>
      </c>
      <c r="N36" s="16">
        <f t="shared" si="14"/>
        <v>8</v>
      </c>
      <c r="O36" s="4"/>
      <c r="P36" s="20">
        <v>0.34375</v>
      </c>
      <c r="Q36" s="20">
        <v>0.5104166666666666</v>
      </c>
      <c r="R36" s="21">
        <f t="shared" si="20"/>
        <v>4</v>
      </c>
      <c r="S36" s="4"/>
      <c r="T36" s="20">
        <v>0.3333333333333333</v>
      </c>
      <c r="U36" s="20">
        <v>0.6666666666666666</v>
      </c>
      <c r="V36" s="21">
        <f t="shared" si="19"/>
        <v>8</v>
      </c>
      <c r="W36" s="4"/>
      <c r="X36" s="4"/>
      <c r="Y36" s="4"/>
      <c r="Z36" s="4"/>
    </row>
    <row r="37">
      <c r="A37" s="15">
        <f t="shared" si="17"/>
        <v>46200</v>
      </c>
      <c r="B37" s="16" t="str">
        <f t="shared" si="12"/>
        <v>Sat</v>
      </c>
      <c r="C37" s="17"/>
      <c r="D37" s="17"/>
      <c r="E37" s="18"/>
      <c r="F37" s="18"/>
      <c r="G37" s="18" t="str">
        <f>IF(COUNTIF(Holidays!$A$2:$A$12,$A37)&gt;0, 8,"")</f>
        <v/>
      </c>
      <c r="H37" s="18"/>
      <c r="I37" s="18"/>
      <c r="J37" s="18"/>
      <c r="K37" s="18"/>
      <c r="L37" s="18"/>
      <c r="M37" s="16" t="str">
        <f t="shared" si="13"/>
        <v/>
      </c>
      <c r="N37" s="16" t="str">
        <f t="shared" si="14"/>
        <v/>
      </c>
      <c r="O37" s="4"/>
      <c r="P37" s="20"/>
      <c r="Q37" s="20"/>
      <c r="R37" s="21"/>
      <c r="S37" s="4"/>
      <c r="T37" s="4"/>
      <c r="U37" s="4"/>
      <c r="V37" s="21"/>
      <c r="W37" s="4"/>
      <c r="X37" s="4"/>
      <c r="Y37" s="4"/>
      <c r="Z37" s="4"/>
    </row>
    <row r="38">
      <c r="A38" s="15">
        <f t="shared" si="17"/>
        <v>46201</v>
      </c>
      <c r="B38" s="16" t="str">
        <f t="shared" si="12"/>
        <v>Sun</v>
      </c>
      <c r="C38" s="17"/>
      <c r="D38" s="18"/>
      <c r="E38" s="18"/>
      <c r="F38" s="18"/>
      <c r="G38" s="18" t="str">
        <f>IF(COUNTIF(Holidays!$A$2:$A$12,$A38)&gt;0, 8,"")</f>
        <v/>
      </c>
      <c r="H38" s="18"/>
      <c r="I38" s="18"/>
      <c r="J38" s="18"/>
      <c r="K38" s="18"/>
      <c r="L38" s="18"/>
      <c r="M38" s="16" t="str">
        <f t="shared" si="13"/>
        <v/>
      </c>
      <c r="N38" s="16" t="str">
        <f t="shared" si="14"/>
        <v/>
      </c>
      <c r="O38" s="4"/>
      <c r="P38" s="20"/>
      <c r="Q38" s="20"/>
      <c r="R38" s="21"/>
      <c r="S38" s="4"/>
      <c r="T38" s="4"/>
      <c r="U38" s="4"/>
      <c r="V38" s="21"/>
      <c r="W38" s="4"/>
      <c r="X38" s="4"/>
      <c r="Y38" s="4"/>
      <c r="Z38" s="4"/>
    </row>
    <row r="39">
      <c r="A39" s="15">
        <f t="shared" si="17"/>
        <v>46202</v>
      </c>
      <c r="B39" s="16" t="str">
        <f t="shared" si="12"/>
        <v>Mon</v>
      </c>
      <c r="C39" s="17">
        <v>4.0</v>
      </c>
      <c r="D39" s="17"/>
      <c r="E39" s="17">
        <v>1.5</v>
      </c>
      <c r="F39" s="18"/>
      <c r="G39" s="18" t="str">
        <f>IF(COUNTIF(Holidays!$A$2:$A$12,$A39)&gt;0, 8,"")</f>
        <v/>
      </c>
      <c r="H39" s="18"/>
      <c r="I39" s="18"/>
      <c r="J39" s="18"/>
      <c r="K39" s="18"/>
      <c r="L39" s="18"/>
      <c r="M39" s="16">
        <f t="shared" si="13"/>
        <v>5.5</v>
      </c>
      <c r="N39" s="16">
        <f t="shared" si="14"/>
        <v>8</v>
      </c>
      <c r="O39" s="4"/>
      <c r="P39" s="20">
        <v>0.5729166666666666</v>
      </c>
      <c r="Q39" s="20">
        <v>0.7395833333333334</v>
      </c>
      <c r="R39" s="21">
        <f t="shared" ref="R39:R40" si="21">(Q39-P39)*24</f>
        <v>4</v>
      </c>
      <c r="S39" s="4"/>
      <c r="T39" s="20">
        <v>0.3333333333333333</v>
      </c>
      <c r="U39" s="20">
        <v>0.6666666666666666</v>
      </c>
      <c r="V39" s="21">
        <f t="shared" ref="V39:V40" si="22">(U39-T39)*24</f>
        <v>8</v>
      </c>
      <c r="W39" s="4"/>
      <c r="X39" s="4"/>
      <c r="Y39" s="4"/>
      <c r="Z39" s="4"/>
    </row>
    <row r="40">
      <c r="A40" s="15">
        <f t="shared" si="17"/>
        <v>46203</v>
      </c>
      <c r="B40" s="16" t="str">
        <f t="shared" si="12"/>
        <v>Tue</v>
      </c>
      <c r="C40" s="17">
        <v>8.0</v>
      </c>
      <c r="D40" s="17"/>
      <c r="E40" s="18"/>
      <c r="F40" s="18"/>
      <c r="G40" s="18" t="str">
        <f>IF(COUNTIF(Holidays!$A$2:$A$12,$A40)&gt;0, 8,"")</f>
        <v/>
      </c>
      <c r="H40" s="18"/>
      <c r="I40" s="18"/>
      <c r="J40" s="18"/>
      <c r="K40" s="18"/>
      <c r="L40" s="18"/>
      <c r="M40" s="16">
        <f t="shared" si="13"/>
        <v>8</v>
      </c>
      <c r="N40" s="16">
        <f t="shared" si="14"/>
        <v>8</v>
      </c>
      <c r="O40" s="4"/>
      <c r="P40" s="20">
        <v>0.3125</v>
      </c>
      <c r="Q40" s="20">
        <v>0.6666666666666666</v>
      </c>
      <c r="R40" s="21">
        <f t="shared" si="21"/>
        <v>8.5</v>
      </c>
      <c r="S40" s="4"/>
      <c r="T40" s="20">
        <v>0.3333333333333333</v>
      </c>
      <c r="U40" s="20">
        <v>0.6666666666666666</v>
      </c>
      <c r="V40" s="21">
        <f t="shared" si="22"/>
        <v>8</v>
      </c>
      <c r="W40" s="4"/>
      <c r="X40" s="4"/>
      <c r="Y40" s="4"/>
      <c r="Z40" s="4"/>
    </row>
    <row r="41">
      <c r="A41" s="16"/>
      <c r="B41" s="16"/>
      <c r="C41" s="18"/>
      <c r="D41" s="17"/>
      <c r="E41" s="18"/>
      <c r="F41" s="18"/>
      <c r="G41" s="18" t="str">
        <f>IF(COUNTIF(Holidays!$A$2:$A$12,$A41)&gt;0, 8,"")</f>
        <v/>
      </c>
      <c r="H41" s="18"/>
      <c r="I41" s="18"/>
      <c r="J41" s="18"/>
      <c r="K41" s="18"/>
      <c r="L41" s="18"/>
      <c r="M41" s="16"/>
      <c r="N41" s="16"/>
      <c r="O41" s="4"/>
      <c r="P41" s="20"/>
      <c r="Q41" s="20"/>
      <c r="S41" s="4"/>
      <c r="T41" s="4"/>
      <c r="U41" s="4"/>
      <c r="V41" s="4"/>
      <c r="W41" s="4"/>
      <c r="X41" s="4"/>
      <c r="Y41" s="4"/>
      <c r="Z41" s="4"/>
    </row>
    <row r="42">
      <c r="A42" s="2" t="s">
        <v>47</v>
      </c>
      <c r="C42" s="14">
        <f t="shared" ref="C42:N42" si="23">sum(C26:C41)</f>
        <v>66.5</v>
      </c>
      <c r="D42" s="14">
        <f t="shared" si="23"/>
        <v>0</v>
      </c>
      <c r="E42" s="14">
        <f t="shared" si="23"/>
        <v>5.5</v>
      </c>
      <c r="F42" s="14">
        <f t="shared" si="23"/>
        <v>8</v>
      </c>
      <c r="G42" s="14">
        <f t="shared" si="23"/>
        <v>8</v>
      </c>
      <c r="H42" s="14">
        <f t="shared" si="23"/>
        <v>0</v>
      </c>
      <c r="I42" s="14">
        <f t="shared" si="23"/>
        <v>0</v>
      </c>
      <c r="J42" s="14">
        <f t="shared" si="23"/>
        <v>0</v>
      </c>
      <c r="K42" s="14">
        <f t="shared" si="23"/>
        <v>0</v>
      </c>
      <c r="L42" s="14">
        <f t="shared" si="23"/>
        <v>0</v>
      </c>
      <c r="M42" s="14">
        <f t="shared" si="23"/>
        <v>88</v>
      </c>
      <c r="N42" s="14">
        <f t="shared" si="23"/>
        <v>88</v>
      </c>
      <c r="O42" s="4"/>
      <c r="P42" s="4"/>
      <c r="Q42" s="4"/>
      <c r="R42" s="24">
        <f>sum(R25:R41)</f>
        <v>83.25</v>
      </c>
      <c r="S42" s="4"/>
      <c r="T42" s="4"/>
      <c r="U42" s="4"/>
      <c r="V42" s="24">
        <f>sum(V26:V41)</f>
        <v>88</v>
      </c>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4">
    <mergeCell ref="M2:N2"/>
    <mergeCell ref="P2:Q2"/>
    <mergeCell ref="A22:B22"/>
    <mergeCell ref="A42:B42"/>
  </mergeCells>
  <conditionalFormatting sqref="C7:L21 C26:L41">
    <cfRule type="expression" dxfId="0" priority="1">
      <formula>OR($B7="Sat", $B7="Sun")</formula>
    </cfRule>
  </conditionalFormatting>
  <conditionalFormatting sqref="C7:L21 C26:L41">
    <cfRule type="notContainsBlanks" dxfId="1" priority="2">
      <formula>LEN(TRIM(C7))&gt;0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19" max="19" width="13.88"/>
  </cols>
  <sheetData>
    <row r="1">
      <c r="A1" s="2" t="s">
        <v>24</v>
      </c>
      <c r="B1" s="2" t="s">
        <v>4</v>
      </c>
      <c r="C1" s="2" t="s">
        <v>6</v>
      </c>
      <c r="D1" s="2" t="s">
        <v>7</v>
      </c>
      <c r="E1" s="2" t="s">
        <v>9</v>
      </c>
      <c r="F1" s="4"/>
      <c r="I1" s="4"/>
      <c r="J1" s="4"/>
      <c r="K1" s="4"/>
      <c r="L1" s="4"/>
      <c r="M1" s="4"/>
      <c r="N1" s="4"/>
      <c r="O1" s="4"/>
      <c r="P1" s="4"/>
      <c r="Q1" s="4"/>
      <c r="R1" s="4"/>
      <c r="S1" s="4"/>
      <c r="T1" s="4"/>
      <c r="U1" s="4"/>
      <c r="V1" s="4"/>
      <c r="W1" s="4"/>
      <c r="X1" s="4"/>
      <c r="Y1" s="4"/>
      <c r="Z1" s="4"/>
    </row>
    <row r="2">
      <c r="A2" s="8" t="s">
        <v>13</v>
      </c>
      <c r="B2" s="12">
        <f t="array" ref="B2">INDIRECT(TEXT(EDATE(DATE(2026, MATCH($A$1, {"January","February","March","April","May","June","July","August","September","October","November","December"}, 0), 1), -1), "mmm") &amp; " 26!B4")</f>
        <v>73.5</v>
      </c>
      <c r="C2" s="12">
        <f t="array" ref="C2">INDIRECT(TEXT(EDATE(DATE(2026, MATCH($A$1, {"January","February","March","April","May","June","July","August","September","October","November","December"}, 0), 1), -1), "mmm") &amp; " 26!C4")</f>
        <v>1.75</v>
      </c>
      <c r="D2" s="12">
        <f t="array" ref="D2">INDIRECT(TEXT(EDATE(DATE(2026, MATCH($A$1, {"January","February","March","April","May","June","July","August","September","October","November","December"}, 0), 1), -1), "mmm") &amp; " 26!D4")</f>
        <v>8</v>
      </c>
      <c r="E2" s="12">
        <f t="array" ref="E2">INDIRECT(TEXT(EDATE(DATE(2026, MATCH($A$1, {"January","February","March","April","May","June","July","August","September","October","November","December"}, 0), 1), -1), "mmm") &amp; " 26!E4")</f>
        <v>40</v>
      </c>
      <c r="F2" s="4"/>
      <c r="G2" s="2" t="s">
        <v>8</v>
      </c>
      <c r="H2" s="12">
        <f>'START HERE'!B6</f>
        <v>5</v>
      </c>
      <c r="I2" s="4"/>
      <c r="J2" s="4"/>
      <c r="K2" s="4"/>
      <c r="L2" s="4"/>
      <c r="M2" s="13"/>
      <c r="O2" s="4"/>
      <c r="P2" s="13"/>
      <c r="R2" s="4"/>
      <c r="S2" s="4"/>
      <c r="T2" s="4"/>
      <c r="U2" s="4"/>
      <c r="V2" s="4"/>
      <c r="W2" s="4"/>
      <c r="X2" s="4"/>
      <c r="Y2" s="4"/>
      <c r="Z2" s="4"/>
    </row>
    <row r="3">
      <c r="A3" s="8" t="s">
        <v>23</v>
      </c>
      <c r="B3" s="12">
        <f>B2+H2-F22</f>
        <v>78.5</v>
      </c>
      <c r="C3" s="12">
        <f>C2+D22-E22</f>
        <v>7.5</v>
      </c>
      <c r="D3" s="12">
        <f t="shared" ref="D3:E3" si="1">D2-I22</f>
        <v>8</v>
      </c>
      <c r="E3" s="12">
        <f t="shared" si="1"/>
        <v>40</v>
      </c>
      <c r="F3" s="4"/>
      <c r="G3" s="4"/>
      <c r="H3" s="4"/>
      <c r="I3" s="4"/>
      <c r="J3" s="4"/>
      <c r="K3" s="4"/>
      <c r="L3" s="4"/>
      <c r="M3" s="4"/>
      <c r="N3" s="4"/>
      <c r="O3" s="4"/>
      <c r="P3" s="4"/>
      <c r="Q3" s="4"/>
      <c r="R3" s="4"/>
      <c r="S3" s="4"/>
      <c r="T3" s="4"/>
      <c r="U3" s="4"/>
      <c r="V3" s="4"/>
      <c r="W3" s="4"/>
      <c r="X3" s="4"/>
      <c r="Y3" s="4"/>
      <c r="Z3" s="4"/>
    </row>
    <row r="4">
      <c r="A4" s="8" t="s">
        <v>25</v>
      </c>
      <c r="B4" s="12">
        <f>B3+H2-F42</f>
        <v>83.5</v>
      </c>
      <c r="C4" s="12">
        <f>C3+D42-E42</f>
        <v>11.5</v>
      </c>
      <c r="D4" s="12">
        <f t="shared" ref="D4:E4" si="2">D3-I42</f>
        <v>8</v>
      </c>
      <c r="E4" s="12">
        <f t="shared" si="2"/>
        <v>40</v>
      </c>
      <c r="F4" s="4"/>
      <c r="G4" s="4"/>
      <c r="H4" s="4"/>
      <c r="I4" s="4"/>
      <c r="J4" s="4"/>
      <c r="K4" s="4"/>
      <c r="L4" s="4"/>
      <c r="M4" s="4"/>
      <c r="N4" s="4"/>
      <c r="O4" s="4"/>
      <c r="P4" s="4"/>
      <c r="Q4" s="4"/>
      <c r="R4" s="4"/>
      <c r="S4" s="4"/>
      <c r="T4" s="4"/>
      <c r="U4" s="4"/>
      <c r="V4" s="4"/>
      <c r="W4" s="4"/>
      <c r="X4" s="4"/>
      <c r="Y4" s="4"/>
      <c r="Z4" s="4"/>
    </row>
    <row r="5">
      <c r="A5" s="4"/>
      <c r="B5" s="4"/>
      <c r="C5" s="4"/>
      <c r="D5" s="4"/>
      <c r="E5" s="4"/>
      <c r="F5" s="4"/>
      <c r="G5" s="4"/>
      <c r="H5" s="4"/>
      <c r="I5" s="4"/>
      <c r="J5" s="4"/>
      <c r="K5" s="4"/>
      <c r="L5" s="4"/>
      <c r="M5" s="4"/>
      <c r="N5" s="4"/>
      <c r="O5" s="4"/>
      <c r="P5" s="13" t="s">
        <v>26</v>
      </c>
      <c r="Q5" s="13" t="s">
        <v>27</v>
      </c>
      <c r="R5" s="13" t="s">
        <v>28</v>
      </c>
      <c r="S5" s="4"/>
      <c r="T5" s="4"/>
      <c r="U5" s="4"/>
      <c r="V5" s="4"/>
      <c r="W5" s="4"/>
      <c r="X5" s="4"/>
      <c r="Y5" s="4"/>
      <c r="Z5" s="4"/>
    </row>
    <row r="6">
      <c r="A6" s="2" t="s">
        <v>29</v>
      </c>
      <c r="B6" s="2" t="s">
        <v>30</v>
      </c>
      <c r="C6" s="14" t="str">
        <f t="array" ref="C6:L6">TRANSPOSE('Time Types'!A2:A11)</f>
        <v>Regular</v>
      </c>
      <c r="D6" s="14" t="s">
        <v>31</v>
      </c>
      <c r="E6" s="14" t="s">
        <v>32</v>
      </c>
      <c r="F6" s="14" t="s">
        <v>12</v>
      </c>
      <c r="G6" s="14" t="s">
        <v>33</v>
      </c>
      <c r="H6" s="14" t="s">
        <v>34</v>
      </c>
      <c r="I6" s="14" t="s">
        <v>14</v>
      </c>
      <c r="J6" s="14" t="s">
        <v>16</v>
      </c>
      <c r="K6" s="14" t="s">
        <v>35</v>
      </c>
      <c r="L6" s="14" t="s">
        <v>36</v>
      </c>
      <c r="M6" s="2" t="s">
        <v>37</v>
      </c>
      <c r="N6" s="2" t="s">
        <v>38</v>
      </c>
      <c r="O6" s="4"/>
      <c r="P6" s="4"/>
      <c r="Q6" s="4"/>
      <c r="R6" s="4"/>
      <c r="S6" s="4"/>
      <c r="T6" s="4"/>
      <c r="U6" s="4"/>
      <c r="V6" s="4"/>
      <c r="W6" s="4"/>
      <c r="X6" s="4"/>
      <c r="Y6" s="4"/>
      <c r="Z6" s="4"/>
    </row>
    <row r="7">
      <c r="A7" s="15">
        <f>DATE(2026, MONTH(DATEVALUE($A$1 &amp; " 1")), 1)</f>
        <v>46204</v>
      </c>
      <c r="B7" s="16" t="str">
        <f t="shared" ref="B7:B21" si="3">text(A7,"ddd")</f>
        <v>Wed</v>
      </c>
      <c r="C7" s="17">
        <v>8.0</v>
      </c>
      <c r="D7" s="17"/>
      <c r="E7" s="18"/>
      <c r="F7" s="18"/>
      <c r="G7" s="18" t="str">
        <f>IF(COUNTIF(Holidays!$A$2:$A$12,$A7)&gt;0, 8,"")</f>
        <v/>
      </c>
      <c r="H7" s="18"/>
      <c r="I7" s="18"/>
      <c r="J7" s="18"/>
      <c r="K7" s="18"/>
      <c r="L7" s="18"/>
      <c r="M7" s="16">
        <f t="shared" ref="M7:M21" si="4">IF(OR(B7="Sat", B7="Sun"), "", sum(C7:J7))</f>
        <v>8</v>
      </c>
      <c r="N7" s="16">
        <f t="shared" ref="N7:N21" si="5">IF(OR(B7="Sat", B7="Sun"), "", 8)</f>
        <v>8</v>
      </c>
      <c r="O7" s="4"/>
      <c r="P7" s="19">
        <v>0.3854166666666667</v>
      </c>
      <c r="Q7" s="20">
        <v>0.71875</v>
      </c>
      <c r="R7" s="21">
        <f>(Q7-P7)*24</f>
        <v>8</v>
      </c>
      <c r="S7" s="4"/>
      <c r="T7" s="4"/>
      <c r="U7" s="4"/>
      <c r="V7" s="4"/>
      <c r="W7" s="4"/>
      <c r="X7" s="4"/>
      <c r="Y7" s="4"/>
      <c r="Z7" s="4"/>
    </row>
    <row r="8">
      <c r="A8" s="15">
        <f t="shared" ref="A8:A21" si="6">A7+1</f>
        <v>46205</v>
      </c>
      <c r="B8" s="16" t="str">
        <f t="shared" si="3"/>
        <v>Thu</v>
      </c>
      <c r="C8" s="17">
        <v>7.0</v>
      </c>
      <c r="D8" s="17"/>
      <c r="E8" s="18"/>
      <c r="F8" s="18"/>
      <c r="G8" s="18" t="str">
        <f>IF(COUNTIF(Holidays!$A$2:$A$12,$A8)&gt;0, 8,"")</f>
        <v/>
      </c>
      <c r="H8" s="17">
        <v>1.0</v>
      </c>
      <c r="I8" s="18"/>
      <c r="J8" s="18"/>
      <c r="K8" s="18"/>
      <c r="L8" s="18"/>
      <c r="M8" s="16">
        <f t="shared" si="4"/>
        <v>8</v>
      </c>
      <c r="N8" s="16">
        <f t="shared" si="5"/>
        <v>8</v>
      </c>
      <c r="O8" s="4"/>
      <c r="P8" s="20">
        <v>0.375</v>
      </c>
      <c r="Q8" s="20">
        <v>0.6666666666666666</v>
      </c>
      <c r="R8" s="21">
        <f>(Q8-P8)*24+1</f>
        <v>8</v>
      </c>
      <c r="S8" s="13" t="s">
        <v>50</v>
      </c>
      <c r="T8" s="4"/>
      <c r="U8" s="4"/>
      <c r="V8" s="4"/>
      <c r="W8" s="4"/>
      <c r="X8" s="4"/>
      <c r="Y8" s="4"/>
      <c r="Z8" s="4"/>
    </row>
    <row r="9">
      <c r="A9" s="15">
        <f t="shared" si="6"/>
        <v>46206</v>
      </c>
      <c r="B9" s="16" t="str">
        <f t="shared" si="3"/>
        <v>Fri</v>
      </c>
      <c r="C9" s="18"/>
      <c r="D9" s="18"/>
      <c r="E9" s="18"/>
      <c r="F9" s="18"/>
      <c r="G9" s="18">
        <f>IF(COUNTIF(Holidays!$A$2:$A$12,$A9)&gt;0, 8,"")</f>
        <v>8</v>
      </c>
      <c r="H9" s="18"/>
      <c r="I9" s="18"/>
      <c r="J9" s="18"/>
      <c r="K9" s="18"/>
      <c r="L9" s="18"/>
      <c r="M9" s="16">
        <f t="shared" si="4"/>
        <v>8</v>
      </c>
      <c r="N9" s="16">
        <f t="shared" si="5"/>
        <v>8</v>
      </c>
      <c r="O9" s="4"/>
      <c r="P9" s="20">
        <v>0.3333333333333333</v>
      </c>
      <c r="Q9" s="20">
        <v>0.6666666666666666</v>
      </c>
      <c r="R9" s="21">
        <f>(Q9-P9)*24</f>
        <v>8</v>
      </c>
      <c r="S9" s="4"/>
      <c r="T9" s="4"/>
      <c r="U9" s="4"/>
      <c r="V9" s="4"/>
      <c r="W9" s="4"/>
      <c r="X9" s="4"/>
      <c r="Y9" s="4"/>
      <c r="Z9" s="4"/>
    </row>
    <row r="10">
      <c r="A10" s="15">
        <f t="shared" si="6"/>
        <v>46207</v>
      </c>
      <c r="B10" s="16" t="str">
        <f t="shared" si="3"/>
        <v>Sat</v>
      </c>
      <c r="C10" s="18"/>
      <c r="D10" s="18"/>
      <c r="E10" s="18"/>
      <c r="F10" s="18"/>
      <c r="G10" s="18" t="str">
        <f>IF(COUNTIF(Holidays!$A$2:$A$12,$A10)&gt;0, 8,"")</f>
        <v/>
      </c>
      <c r="H10" s="18"/>
      <c r="I10" s="18"/>
      <c r="J10" s="18"/>
      <c r="K10" s="18"/>
      <c r="L10" s="18"/>
      <c r="M10" s="16" t="str">
        <f t="shared" si="4"/>
        <v/>
      </c>
      <c r="N10" s="16" t="str">
        <f t="shared" si="5"/>
        <v/>
      </c>
      <c r="O10" s="4"/>
      <c r="P10" s="20"/>
      <c r="Q10" s="20"/>
      <c r="R10" s="22"/>
      <c r="S10" s="4"/>
      <c r="T10" s="4"/>
      <c r="U10" s="4"/>
      <c r="V10" s="4"/>
      <c r="W10" s="4"/>
      <c r="X10" s="4"/>
      <c r="Y10" s="4"/>
      <c r="Z10" s="4"/>
    </row>
    <row r="11">
      <c r="A11" s="15">
        <f t="shared" si="6"/>
        <v>46208</v>
      </c>
      <c r="B11" s="16" t="str">
        <f t="shared" si="3"/>
        <v>Sun</v>
      </c>
      <c r="C11" s="17"/>
      <c r="D11" s="18"/>
      <c r="E11" s="18"/>
      <c r="F11" s="18"/>
      <c r="G11" s="18" t="str">
        <f>IF(COUNTIF(Holidays!$A$2:$A$12,$A11)&gt;0, 8,"")</f>
        <v/>
      </c>
      <c r="H11" s="18"/>
      <c r="I11" s="18"/>
      <c r="J11" s="18"/>
      <c r="K11" s="18"/>
      <c r="L11" s="18"/>
      <c r="M11" s="16" t="str">
        <f t="shared" si="4"/>
        <v/>
      </c>
      <c r="N11" s="16" t="str">
        <f t="shared" si="5"/>
        <v/>
      </c>
      <c r="O11" s="4"/>
      <c r="P11" s="20"/>
      <c r="Q11" s="20"/>
      <c r="R11" s="21"/>
      <c r="S11" s="4"/>
      <c r="T11" s="4"/>
      <c r="U11" s="4"/>
      <c r="V11" s="4"/>
      <c r="W11" s="4"/>
      <c r="X11" s="4"/>
      <c r="Y11" s="4"/>
      <c r="Z11" s="4"/>
    </row>
    <row r="12">
      <c r="A12" s="15">
        <f t="shared" si="6"/>
        <v>46209</v>
      </c>
      <c r="B12" s="16" t="str">
        <f t="shared" si="3"/>
        <v>Mon</v>
      </c>
      <c r="C12" s="17">
        <v>8.0</v>
      </c>
      <c r="D12" s="17">
        <v>2.0</v>
      </c>
      <c r="E12" s="18"/>
      <c r="F12" s="18"/>
      <c r="G12" s="18" t="str">
        <f>IF(COUNTIF(Holidays!$A$2:$A$12,$A12)&gt;0, 8,"")</f>
        <v/>
      </c>
      <c r="H12" s="18"/>
      <c r="I12" s="18"/>
      <c r="J12" s="18"/>
      <c r="K12" s="18"/>
      <c r="L12" s="18"/>
      <c r="M12" s="16">
        <f t="shared" si="4"/>
        <v>10</v>
      </c>
      <c r="N12" s="16">
        <f t="shared" si="5"/>
        <v>8</v>
      </c>
      <c r="O12" s="4"/>
      <c r="P12" s="20">
        <v>0.3645833333333333</v>
      </c>
      <c r="Q12" s="20">
        <v>0.7395833333333334</v>
      </c>
      <c r="R12" s="21">
        <f>(Q12-P12)*24+1</f>
        <v>10</v>
      </c>
      <c r="S12" s="13" t="s">
        <v>53</v>
      </c>
      <c r="T12" s="4"/>
      <c r="U12" s="4"/>
      <c r="V12" s="4"/>
      <c r="W12" s="4"/>
      <c r="X12" s="4"/>
      <c r="Y12" s="4"/>
      <c r="Z12" s="4"/>
    </row>
    <row r="13">
      <c r="A13" s="15">
        <f t="shared" si="6"/>
        <v>46210</v>
      </c>
      <c r="B13" s="16" t="str">
        <f t="shared" si="3"/>
        <v>Tue</v>
      </c>
      <c r="C13" s="17">
        <v>8.75</v>
      </c>
      <c r="D13" s="17"/>
      <c r="E13" s="18"/>
      <c r="F13" s="18"/>
      <c r="G13" s="18" t="str">
        <f>IF(COUNTIF(Holidays!$A$2:$A$12,$A13)&gt;0, 8,"")</f>
        <v/>
      </c>
      <c r="H13" s="18"/>
      <c r="I13" s="18"/>
      <c r="J13" s="18"/>
      <c r="K13" s="18"/>
      <c r="L13" s="18"/>
      <c r="M13" s="16">
        <f t="shared" si="4"/>
        <v>8.75</v>
      </c>
      <c r="N13" s="16">
        <f t="shared" si="5"/>
        <v>8</v>
      </c>
      <c r="O13" s="4"/>
      <c r="P13" s="20">
        <v>0.375</v>
      </c>
      <c r="Q13" s="20">
        <v>0.7395833333333334</v>
      </c>
      <c r="R13" s="21">
        <f t="shared" ref="R13:R16" si="7">(Q13-P13)*24</f>
        <v>8.75</v>
      </c>
      <c r="S13" s="13" t="s">
        <v>54</v>
      </c>
      <c r="T13" s="4"/>
      <c r="U13" s="4"/>
      <c r="V13" s="4"/>
      <c r="W13" s="4"/>
      <c r="X13" s="4"/>
      <c r="Y13" s="4"/>
      <c r="Z13" s="4"/>
    </row>
    <row r="14">
      <c r="A14" s="15">
        <f t="shared" si="6"/>
        <v>46211</v>
      </c>
      <c r="B14" s="16" t="str">
        <f t="shared" si="3"/>
        <v>Wed</v>
      </c>
      <c r="C14" s="17">
        <v>7.25</v>
      </c>
      <c r="D14" s="17"/>
      <c r="E14" s="18"/>
      <c r="F14" s="18"/>
      <c r="G14" s="18" t="str">
        <f>IF(COUNTIF(Holidays!$A$2:$A$12,$A14)&gt;0, 8,"")</f>
        <v/>
      </c>
      <c r="H14" s="18"/>
      <c r="I14" s="18"/>
      <c r="J14" s="18"/>
      <c r="K14" s="18"/>
      <c r="L14" s="18"/>
      <c r="M14" s="16">
        <f t="shared" si="4"/>
        <v>7.25</v>
      </c>
      <c r="N14" s="16">
        <f t="shared" si="5"/>
        <v>8</v>
      </c>
      <c r="O14" s="4"/>
      <c r="P14" s="20">
        <v>0.3958333333333333</v>
      </c>
      <c r="Q14" s="20">
        <v>0.6979166666666666</v>
      </c>
      <c r="R14" s="21">
        <f t="shared" si="7"/>
        <v>7.25</v>
      </c>
      <c r="S14" s="4"/>
      <c r="T14" s="4"/>
      <c r="U14" s="4"/>
      <c r="V14" s="4"/>
      <c r="W14" s="4"/>
      <c r="X14" s="4"/>
      <c r="Y14" s="4"/>
      <c r="Z14" s="4"/>
    </row>
    <row r="15">
      <c r="A15" s="15">
        <f t="shared" si="6"/>
        <v>46212</v>
      </c>
      <c r="B15" s="16" t="str">
        <f t="shared" si="3"/>
        <v>Thu</v>
      </c>
      <c r="C15" s="17">
        <v>8.0</v>
      </c>
      <c r="D15" s="17">
        <v>0.25</v>
      </c>
      <c r="E15" s="18"/>
      <c r="F15" s="18"/>
      <c r="G15" s="18" t="str">
        <f>IF(COUNTIF(Holidays!$A$2:$A$12,$A15)&gt;0, 8,"")</f>
        <v/>
      </c>
      <c r="H15" s="18"/>
      <c r="I15" s="18"/>
      <c r="J15" s="18"/>
      <c r="K15" s="18"/>
      <c r="L15" s="18"/>
      <c r="M15" s="16">
        <f t="shared" si="4"/>
        <v>8.25</v>
      </c>
      <c r="N15" s="16">
        <f t="shared" si="5"/>
        <v>8</v>
      </c>
      <c r="O15" s="4"/>
      <c r="P15" s="20">
        <v>0.3958333333333333</v>
      </c>
      <c r="Q15" s="20">
        <v>0.7395833333333334</v>
      </c>
      <c r="R15" s="21">
        <f t="shared" si="7"/>
        <v>8.25</v>
      </c>
      <c r="S15" s="13" t="s">
        <v>55</v>
      </c>
      <c r="T15" s="4"/>
      <c r="U15" s="4"/>
      <c r="V15" s="4"/>
      <c r="W15" s="4"/>
      <c r="X15" s="4"/>
      <c r="Y15" s="4"/>
      <c r="Z15" s="4"/>
    </row>
    <row r="16">
      <c r="A16" s="15">
        <f t="shared" si="6"/>
        <v>46213</v>
      </c>
      <c r="B16" s="16" t="str">
        <f t="shared" si="3"/>
        <v>Fri</v>
      </c>
      <c r="C16" s="17">
        <v>8.0</v>
      </c>
      <c r="D16" s="17"/>
      <c r="E16" s="18"/>
      <c r="F16" s="18"/>
      <c r="G16" s="18" t="str">
        <f>IF(COUNTIF(Holidays!$A$2:$A$12,$A16)&gt;0, 8,"")</f>
        <v/>
      </c>
      <c r="H16" s="18"/>
      <c r="I16" s="18"/>
      <c r="J16" s="18"/>
      <c r="K16" s="18"/>
      <c r="L16" s="18"/>
      <c r="M16" s="16">
        <f t="shared" si="4"/>
        <v>8</v>
      </c>
      <c r="N16" s="16">
        <f t="shared" si="5"/>
        <v>8</v>
      </c>
      <c r="O16" s="4"/>
      <c r="P16" s="20">
        <v>0.34375</v>
      </c>
      <c r="Q16" s="20">
        <v>0.6770833333333334</v>
      </c>
      <c r="R16" s="21">
        <f t="shared" si="7"/>
        <v>8</v>
      </c>
      <c r="S16" s="4"/>
      <c r="T16" s="4"/>
      <c r="U16" s="4"/>
      <c r="V16" s="4"/>
      <c r="W16" s="4"/>
      <c r="X16" s="4"/>
      <c r="Y16" s="4"/>
      <c r="Z16" s="4"/>
    </row>
    <row r="17">
      <c r="A17" s="15">
        <f t="shared" si="6"/>
        <v>46214</v>
      </c>
      <c r="B17" s="16" t="str">
        <f t="shared" si="3"/>
        <v>Sat</v>
      </c>
      <c r="C17" s="18"/>
      <c r="D17" s="18"/>
      <c r="E17" s="18"/>
      <c r="F17" s="18"/>
      <c r="G17" s="18" t="str">
        <f>IF(COUNTIF(Holidays!$A$2:$A$12,$A17)&gt;0, 8,"")</f>
        <v/>
      </c>
      <c r="H17" s="18"/>
      <c r="I17" s="18"/>
      <c r="J17" s="18"/>
      <c r="K17" s="18"/>
      <c r="L17" s="18"/>
      <c r="M17" s="16" t="str">
        <f t="shared" si="4"/>
        <v/>
      </c>
      <c r="N17" s="16" t="str">
        <f t="shared" si="5"/>
        <v/>
      </c>
      <c r="O17" s="4"/>
      <c r="P17" s="20"/>
      <c r="Q17" s="20"/>
      <c r="R17" s="21"/>
      <c r="S17" s="4"/>
      <c r="T17" s="4"/>
      <c r="U17" s="4"/>
      <c r="V17" s="4"/>
      <c r="W17" s="4"/>
      <c r="X17" s="4"/>
      <c r="Y17" s="4"/>
      <c r="Z17" s="4"/>
    </row>
    <row r="18">
      <c r="A18" s="15">
        <f t="shared" si="6"/>
        <v>46215</v>
      </c>
      <c r="B18" s="16" t="str">
        <f t="shared" si="3"/>
        <v>Sun</v>
      </c>
      <c r="C18" s="17"/>
      <c r="D18" s="18"/>
      <c r="E18" s="18"/>
      <c r="F18" s="18"/>
      <c r="G18" s="18" t="str">
        <f>IF(COUNTIF(Holidays!$A$2:$A$12,$A18)&gt;0, 8,"")</f>
        <v/>
      </c>
      <c r="H18" s="18"/>
      <c r="I18" s="18"/>
      <c r="J18" s="18"/>
      <c r="K18" s="18"/>
      <c r="L18" s="18"/>
      <c r="M18" s="16" t="str">
        <f t="shared" si="4"/>
        <v/>
      </c>
      <c r="N18" s="16" t="str">
        <f t="shared" si="5"/>
        <v/>
      </c>
      <c r="O18" s="4"/>
      <c r="P18" s="20"/>
      <c r="Q18" s="20"/>
      <c r="R18" s="21"/>
      <c r="S18" s="4"/>
      <c r="T18" s="4"/>
      <c r="U18" s="4"/>
      <c r="V18" s="4"/>
      <c r="W18" s="4"/>
      <c r="X18" s="4"/>
      <c r="Y18" s="4"/>
      <c r="Z18" s="4"/>
    </row>
    <row r="19">
      <c r="A19" s="15">
        <f t="shared" si="6"/>
        <v>46216</v>
      </c>
      <c r="B19" s="16" t="str">
        <f t="shared" si="3"/>
        <v>Mon</v>
      </c>
      <c r="C19" s="17">
        <v>8.0</v>
      </c>
      <c r="D19" s="17">
        <v>2.0</v>
      </c>
      <c r="E19" s="18"/>
      <c r="F19" s="18"/>
      <c r="G19" s="18" t="str">
        <f>IF(COUNTIF(Holidays!$A$2:$A$12,$A19)&gt;0, 8,"")</f>
        <v/>
      </c>
      <c r="H19" s="18"/>
      <c r="I19" s="18"/>
      <c r="J19" s="18"/>
      <c r="K19" s="18"/>
      <c r="L19" s="18"/>
      <c r="M19" s="16">
        <f t="shared" si="4"/>
        <v>10</v>
      </c>
      <c r="N19" s="16">
        <f t="shared" si="5"/>
        <v>8</v>
      </c>
      <c r="O19" s="4"/>
      <c r="P19" s="20">
        <v>0.25</v>
      </c>
      <c r="Q19" s="20">
        <v>0.6666666666666666</v>
      </c>
      <c r="R19" s="21">
        <f t="shared" ref="R19:R21" si="8">(Q19-P19)*24</f>
        <v>10</v>
      </c>
      <c r="S19" s="13" t="s">
        <v>56</v>
      </c>
      <c r="T19" s="4"/>
      <c r="U19" s="4"/>
      <c r="V19" s="4"/>
      <c r="W19" s="4"/>
      <c r="X19" s="4"/>
      <c r="Y19" s="4"/>
      <c r="Z19" s="4"/>
    </row>
    <row r="20">
      <c r="A20" s="15">
        <f t="shared" si="6"/>
        <v>46217</v>
      </c>
      <c r="B20" s="16" t="str">
        <f t="shared" si="3"/>
        <v>Tue</v>
      </c>
      <c r="C20" s="17">
        <v>8.0</v>
      </c>
      <c r="D20" s="17">
        <v>0.5</v>
      </c>
      <c r="E20" s="18"/>
      <c r="F20" s="18"/>
      <c r="G20" s="18" t="str">
        <f>IF(COUNTIF(Holidays!$A$2:$A$12,$A20)&gt;0, 8,"")</f>
        <v/>
      </c>
      <c r="H20" s="18"/>
      <c r="I20" s="18"/>
      <c r="J20" s="18"/>
      <c r="K20" s="18"/>
      <c r="L20" s="18"/>
      <c r="M20" s="16">
        <f t="shared" si="4"/>
        <v>8.5</v>
      </c>
      <c r="N20" s="16">
        <f t="shared" si="5"/>
        <v>8</v>
      </c>
      <c r="O20" s="4"/>
      <c r="P20" s="20">
        <v>0.375</v>
      </c>
      <c r="Q20" s="20">
        <v>0.7291666666666666</v>
      </c>
      <c r="R20" s="21">
        <f t="shared" si="8"/>
        <v>8.5</v>
      </c>
      <c r="S20" s="13" t="s">
        <v>57</v>
      </c>
      <c r="T20" s="4"/>
      <c r="U20" s="4"/>
      <c r="V20" s="4"/>
      <c r="W20" s="4"/>
      <c r="X20" s="4"/>
      <c r="Y20" s="4"/>
      <c r="Z20" s="4"/>
    </row>
    <row r="21">
      <c r="A21" s="15">
        <f t="shared" si="6"/>
        <v>46218</v>
      </c>
      <c r="B21" s="16" t="str">
        <f t="shared" si="3"/>
        <v>Wed</v>
      </c>
      <c r="C21" s="17">
        <v>8.0</v>
      </c>
      <c r="D21" s="17">
        <v>1.0</v>
      </c>
      <c r="E21" s="18"/>
      <c r="F21" s="18"/>
      <c r="G21" s="18" t="str">
        <f>IF(COUNTIF(Holidays!$A$2:$A$12,$A21)&gt;0, 8,"")</f>
        <v/>
      </c>
      <c r="H21" s="18"/>
      <c r="I21" s="18"/>
      <c r="J21" s="18"/>
      <c r="K21" s="18"/>
      <c r="L21" s="18"/>
      <c r="M21" s="16">
        <f t="shared" si="4"/>
        <v>9</v>
      </c>
      <c r="N21" s="16">
        <f t="shared" si="5"/>
        <v>8</v>
      </c>
      <c r="O21" s="4"/>
      <c r="P21" s="20">
        <v>0.3229166666666667</v>
      </c>
      <c r="Q21" s="20">
        <v>0.6979166666666666</v>
      </c>
      <c r="R21" s="21">
        <f t="shared" si="8"/>
        <v>9</v>
      </c>
      <c r="S21" s="13" t="s">
        <v>58</v>
      </c>
      <c r="T21" s="4"/>
      <c r="U21" s="4"/>
      <c r="V21" s="4"/>
      <c r="W21" s="4"/>
      <c r="X21" s="4"/>
      <c r="Y21" s="4"/>
      <c r="Z21" s="4"/>
    </row>
    <row r="22">
      <c r="A22" s="2" t="s">
        <v>47</v>
      </c>
      <c r="C22" s="14">
        <f t="shared" ref="C22:N22" si="9">sum(C7:C21)</f>
        <v>79</v>
      </c>
      <c r="D22" s="14">
        <f t="shared" si="9"/>
        <v>5.75</v>
      </c>
      <c r="E22" s="14">
        <f t="shared" si="9"/>
        <v>0</v>
      </c>
      <c r="F22" s="14">
        <f t="shared" si="9"/>
        <v>0</v>
      </c>
      <c r="G22" s="14">
        <f t="shared" si="9"/>
        <v>8</v>
      </c>
      <c r="H22" s="14">
        <f t="shared" si="9"/>
        <v>1</v>
      </c>
      <c r="I22" s="14">
        <f t="shared" si="9"/>
        <v>0</v>
      </c>
      <c r="J22" s="14">
        <f t="shared" si="9"/>
        <v>0</v>
      </c>
      <c r="K22" s="14">
        <f t="shared" si="9"/>
        <v>0</v>
      </c>
      <c r="L22" s="14">
        <f t="shared" si="9"/>
        <v>0</v>
      </c>
      <c r="M22" s="14">
        <f t="shared" si="9"/>
        <v>93.75</v>
      </c>
      <c r="N22" s="14">
        <f t="shared" si="9"/>
        <v>88</v>
      </c>
      <c r="O22" s="4"/>
      <c r="P22" s="4"/>
      <c r="Q22" s="4"/>
      <c r="R22" s="24">
        <f>sum(R7:R21)</f>
        <v>93.75</v>
      </c>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2" t="s">
        <v>49</v>
      </c>
      <c r="B25" s="2" t="s">
        <v>30</v>
      </c>
      <c r="C25" s="14" t="str">
        <f t="array" ref="C25:L25">transpose('Time Types'!A2:A11)</f>
        <v>Regular</v>
      </c>
      <c r="D25" s="14" t="s">
        <v>31</v>
      </c>
      <c r="E25" s="14" t="s">
        <v>32</v>
      </c>
      <c r="F25" s="14" t="s">
        <v>12</v>
      </c>
      <c r="G25" s="14" t="s">
        <v>33</v>
      </c>
      <c r="H25" s="14" t="s">
        <v>34</v>
      </c>
      <c r="I25" s="14" t="s">
        <v>14</v>
      </c>
      <c r="J25" s="14" t="s">
        <v>16</v>
      </c>
      <c r="K25" s="14" t="s">
        <v>35</v>
      </c>
      <c r="L25" s="14" t="s">
        <v>36</v>
      </c>
      <c r="M25" s="2" t="s">
        <v>37</v>
      </c>
      <c r="N25" s="2" t="s">
        <v>38</v>
      </c>
      <c r="O25" s="4"/>
      <c r="P25" s="20"/>
      <c r="Q25" s="19"/>
      <c r="R25" s="21"/>
      <c r="S25" s="4"/>
      <c r="T25" s="4"/>
      <c r="U25" s="4"/>
      <c r="V25" s="4"/>
      <c r="W25" s="4"/>
      <c r="X25" s="4"/>
      <c r="Y25" s="4"/>
      <c r="Z25" s="4"/>
    </row>
    <row r="26">
      <c r="A26" s="15">
        <f>A21+1</f>
        <v>46219</v>
      </c>
      <c r="B26" s="16" t="str">
        <f t="shared" ref="B26:B41" si="10">text(A26,"ddd")</f>
        <v>Thu</v>
      </c>
      <c r="C26" s="17">
        <v>8.0</v>
      </c>
      <c r="D26" s="17"/>
      <c r="E26" s="18"/>
      <c r="F26" s="18"/>
      <c r="G26" s="18" t="str">
        <f>IF(COUNTIF(Holidays!$A$2:$A$12,$A26)&gt;0, 8,"")</f>
        <v/>
      </c>
      <c r="H26" s="18"/>
      <c r="I26" s="18"/>
      <c r="J26" s="18"/>
      <c r="K26" s="18"/>
      <c r="L26" s="18"/>
      <c r="M26" s="16">
        <f t="shared" ref="M26:M41" si="11">IF(OR(B26="Sat", B26="Sun"), "", sum(C26:J26))</f>
        <v>8</v>
      </c>
      <c r="N26" s="16">
        <f t="shared" ref="N26:N41" si="12">IF(OR(B26="Sat", B26="Sun"), "", 8)</f>
        <v>8</v>
      </c>
      <c r="O26" s="4"/>
      <c r="P26" s="20">
        <v>0.3854166666666667</v>
      </c>
      <c r="Q26" s="20">
        <v>0.71875</v>
      </c>
      <c r="R26" s="21">
        <f t="shared" ref="R26:R27" si="13">(Q26-P26)*24</f>
        <v>8</v>
      </c>
      <c r="S26" s="4"/>
      <c r="T26" s="4"/>
      <c r="U26" s="4"/>
      <c r="V26" s="4"/>
      <c r="W26" s="4"/>
      <c r="X26" s="4"/>
      <c r="Y26" s="4"/>
      <c r="Z26" s="4"/>
    </row>
    <row r="27">
      <c r="A27" s="15">
        <f t="shared" ref="A27:A41" si="14">A26+1</f>
        <v>46220</v>
      </c>
      <c r="B27" s="16" t="str">
        <f t="shared" si="10"/>
        <v>Fri</v>
      </c>
      <c r="C27" s="17">
        <v>8.0</v>
      </c>
      <c r="D27" s="17"/>
      <c r="E27" s="18"/>
      <c r="F27" s="18"/>
      <c r="G27" s="18" t="str">
        <f>IF(COUNTIF(Holidays!$A$2:$A$12,$A27)&gt;0, 8,"")</f>
        <v/>
      </c>
      <c r="H27" s="18"/>
      <c r="I27" s="18"/>
      <c r="J27" s="18"/>
      <c r="K27" s="18"/>
      <c r="L27" s="18"/>
      <c r="M27" s="16">
        <f t="shared" si="11"/>
        <v>8</v>
      </c>
      <c r="N27" s="16">
        <f t="shared" si="12"/>
        <v>8</v>
      </c>
      <c r="O27" s="4"/>
      <c r="P27" s="20">
        <v>0.3541666666666667</v>
      </c>
      <c r="Q27" s="20">
        <v>0.6875</v>
      </c>
      <c r="R27" s="21">
        <f t="shared" si="13"/>
        <v>8</v>
      </c>
      <c r="S27" s="4"/>
      <c r="T27" s="4"/>
      <c r="U27" s="4"/>
      <c r="V27" s="4"/>
      <c r="W27" s="4"/>
      <c r="X27" s="4"/>
      <c r="Y27" s="4"/>
      <c r="Z27" s="4"/>
    </row>
    <row r="28">
      <c r="A28" s="15">
        <f t="shared" si="14"/>
        <v>46221</v>
      </c>
      <c r="B28" s="16" t="str">
        <f t="shared" si="10"/>
        <v>Sat</v>
      </c>
      <c r="C28" s="18"/>
      <c r="D28" s="18"/>
      <c r="E28" s="18"/>
      <c r="F28" s="18"/>
      <c r="G28" s="18" t="str">
        <f>IF(COUNTIF(Holidays!$A$2:$A$12,$A28)&gt;0, 8,"")</f>
        <v/>
      </c>
      <c r="H28" s="18"/>
      <c r="I28" s="18"/>
      <c r="J28" s="18"/>
      <c r="K28" s="18"/>
      <c r="L28" s="18"/>
      <c r="M28" s="16" t="str">
        <f t="shared" si="11"/>
        <v/>
      </c>
      <c r="N28" s="16" t="str">
        <f t="shared" si="12"/>
        <v/>
      </c>
      <c r="O28" s="4"/>
      <c r="P28" s="20"/>
      <c r="Q28" s="20"/>
      <c r="R28" s="21"/>
      <c r="S28" s="4"/>
      <c r="T28" s="4"/>
      <c r="U28" s="4"/>
      <c r="V28" s="4"/>
      <c r="W28" s="4"/>
      <c r="X28" s="4"/>
      <c r="Y28" s="4"/>
      <c r="Z28" s="4"/>
    </row>
    <row r="29">
      <c r="A29" s="15">
        <f t="shared" si="14"/>
        <v>46222</v>
      </c>
      <c r="B29" s="16" t="str">
        <f t="shared" si="10"/>
        <v>Sun</v>
      </c>
      <c r="C29" s="18"/>
      <c r="D29" s="17"/>
      <c r="E29" s="18"/>
      <c r="F29" s="18"/>
      <c r="G29" s="18" t="str">
        <f>IF(COUNTIF(Holidays!$A$2:$A$12,$A29)&gt;0, 8,"")</f>
        <v/>
      </c>
      <c r="H29" s="18"/>
      <c r="I29" s="18"/>
      <c r="J29" s="18"/>
      <c r="K29" s="18"/>
      <c r="L29" s="18"/>
      <c r="M29" s="16" t="str">
        <f t="shared" si="11"/>
        <v/>
      </c>
      <c r="N29" s="16" t="str">
        <f t="shared" si="12"/>
        <v/>
      </c>
      <c r="O29" s="4"/>
      <c r="P29" s="20"/>
      <c r="Q29" s="20"/>
      <c r="R29" s="21"/>
      <c r="S29" s="4"/>
      <c r="T29" s="4"/>
      <c r="U29" s="4"/>
      <c r="V29" s="4"/>
      <c r="W29" s="4"/>
      <c r="X29" s="4"/>
      <c r="Y29" s="4"/>
      <c r="Z29" s="4"/>
    </row>
    <row r="30">
      <c r="A30" s="15">
        <f t="shared" si="14"/>
        <v>46223</v>
      </c>
      <c r="B30" s="16" t="str">
        <f t="shared" si="10"/>
        <v>Mon</v>
      </c>
      <c r="C30" s="17">
        <v>8.0</v>
      </c>
      <c r="D30" s="17">
        <v>1.0</v>
      </c>
      <c r="E30" s="18"/>
      <c r="F30" s="18"/>
      <c r="G30" s="18" t="str">
        <f>IF(COUNTIF(Holidays!$A$2:$A$12,$A30)&gt;0, 8,"")</f>
        <v/>
      </c>
      <c r="H30" s="18"/>
      <c r="I30" s="18"/>
      <c r="J30" s="18"/>
      <c r="K30" s="18"/>
      <c r="L30" s="18"/>
      <c r="M30" s="16">
        <f t="shared" si="11"/>
        <v>9</v>
      </c>
      <c r="N30" s="16">
        <f t="shared" si="12"/>
        <v>8</v>
      </c>
      <c r="O30" s="4"/>
      <c r="P30" s="20">
        <v>0.3541666666666667</v>
      </c>
      <c r="Q30" s="20">
        <v>0.7291666666666666</v>
      </c>
      <c r="R30" s="21">
        <f t="shared" ref="R30:R34" si="15">(Q30-P30)*24</f>
        <v>9</v>
      </c>
      <c r="S30" s="4"/>
      <c r="T30" s="4"/>
      <c r="U30" s="4"/>
      <c r="V30" s="4"/>
      <c r="W30" s="4"/>
      <c r="X30" s="4"/>
      <c r="Y30" s="4"/>
      <c r="Z30" s="4"/>
    </row>
    <row r="31">
      <c r="A31" s="15">
        <f t="shared" si="14"/>
        <v>46224</v>
      </c>
      <c r="B31" s="16" t="str">
        <f t="shared" si="10"/>
        <v>Tue</v>
      </c>
      <c r="C31" s="17">
        <v>8.0</v>
      </c>
      <c r="D31" s="17">
        <v>0.5</v>
      </c>
      <c r="E31" s="18"/>
      <c r="F31" s="18"/>
      <c r="G31" s="18" t="str">
        <f>IF(COUNTIF(Holidays!$A$2:$A$12,$A31)&gt;0, 8,"")</f>
        <v/>
      </c>
      <c r="H31" s="18"/>
      <c r="I31" s="18"/>
      <c r="J31" s="18"/>
      <c r="K31" s="18"/>
      <c r="L31" s="18"/>
      <c r="M31" s="16">
        <f t="shared" si="11"/>
        <v>8.5</v>
      </c>
      <c r="N31" s="16">
        <f t="shared" si="12"/>
        <v>8</v>
      </c>
      <c r="O31" s="4"/>
      <c r="P31" s="20">
        <v>0.375</v>
      </c>
      <c r="Q31" s="20">
        <v>0.7291666666666666</v>
      </c>
      <c r="R31" s="21">
        <f t="shared" si="15"/>
        <v>8.5</v>
      </c>
      <c r="S31" s="4"/>
      <c r="T31" s="4"/>
      <c r="U31" s="4"/>
      <c r="V31" s="4"/>
      <c r="W31" s="4"/>
      <c r="X31" s="4"/>
      <c r="Y31" s="4"/>
      <c r="Z31" s="4"/>
    </row>
    <row r="32">
      <c r="A32" s="15">
        <f t="shared" si="14"/>
        <v>46225</v>
      </c>
      <c r="B32" s="16" t="str">
        <f t="shared" si="10"/>
        <v>Wed</v>
      </c>
      <c r="C32" s="17">
        <v>8.5</v>
      </c>
      <c r="D32" s="17"/>
      <c r="E32" s="18"/>
      <c r="F32" s="18"/>
      <c r="G32" s="18" t="str">
        <f>IF(COUNTIF(Holidays!$A$2:$A$12,$A32)&gt;0, 8,"")</f>
        <v/>
      </c>
      <c r="H32" s="18"/>
      <c r="I32" s="18"/>
      <c r="J32" s="18"/>
      <c r="K32" s="18"/>
      <c r="L32" s="18"/>
      <c r="M32" s="16">
        <f t="shared" si="11"/>
        <v>8.5</v>
      </c>
      <c r="N32" s="16">
        <f t="shared" si="12"/>
        <v>8</v>
      </c>
      <c r="O32" s="4"/>
      <c r="P32" s="20">
        <v>0.34375</v>
      </c>
      <c r="Q32" s="20">
        <v>0.6979166666666666</v>
      </c>
      <c r="R32" s="21">
        <f t="shared" si="15"/>
        <v>8.5</v>
      </c>
      <c r="S32" s="4"/>
      <c r="T32" s="4"/>
      <c r="U32" s="4"/>
      <c r="V32" s="4"/>
      <c r="W32" s="4"/>
      <c r="X32" s="4"/>
      <c r="Y32" s="4"/>
      <c r="Z32" s="4"/>
    </row>
    <row r="33">
      <c r="A33" s="15">
        <f t="shared" si="14"/>
        <v>46226</v>
      </c>
      <c r="B33" s="16" t="str">
        <f t="shared" si="10"/>
        <v>Thu</v>
      </c>
      <c r="C33" s="17">
        <v>6.5</v>
      </c>
      <c r="D33" s="17"/>
      <c r="E33" s="18"/>
      <c r="F33" s="18"/>
      <c r="G33" s="18" t="str">
        <f>IF(COUNTIF(Holidays!$A$2:$A$12,$A33)&gt;0, 8,"")</f>
        <v/>
      </c>
      <c r="H33" s="18"/>
      <c r="I33" s="18"/>
      <c r="J33" s="18"/>
      <c r="K33" s="18"/>
      <c r="L33" s="18"/>
      <c r="M33" s="16">
        <f t="shared" si="11"/>
        <v>6.5</v>
      </c>
      <c r="N33" s="16">
        <f t="shared" si="12"/>
        <v>8</v>
      </c>
      <c r="O33" s="4"/>
      <c r="P33" s="20">
        <v>0.3645833333333333</v>
      </c>
      <c r="Q33" s="20">
        <v>0.6354166666666666</v>
      </c>
      <c r="R33" s="21">
        <f t="shared" si="15"/>
        <v>6.5</v>
      </c>
      <c r="S33" s="4"/>
      <c r="T33" s="4"/>
      <c r="U33" s="4"/>
      <c r="V33" s="4"/>
      <c r="W33" s="4"/>
      <c r="X33" s="4"/>
      <c r="Y33" s="4"/>
      <c r="Z33" s="4"/>
    </row>
    <row r="34">
      <c r="A34" s="15">
        <f t="shared" si="14"/>
        <v>46227</v>
      </c>
      <c r="B34" s="16" t="str">
        <f t="shared" si="10"/>
        <v>Fri</v>
      </c>
      <c r="C34" s="17">
        <v>8.0</v>
      </c>
      <c r="D34" s="17"/>
      <c r="E34" s="18"/>
      <c r="F34" s="18"/>
      <c r="G34" s="18" t="str">
        <f>IF(COUNTIF(Holidays!$A$2:$A$12,$A34)&gt;0, 8,"")</f>
        <v/>
      </c>
      <c r="H34" s="18"/>
      <c r="I34" s="18"/>
      <c r="J34" s="18"/>
      <c r="K34" s="18"/>
      <c r="L34" s="18"/>
      <c r="M34" s="16">
        <f t="shared" si="11"/>
        <v>8</v>
      </c>
      <c r="N34" s="16">
        <f t="shared" si="12"/>
        <v>8</v>
      </c>
      <c r="O34" s="4"/>
      <c r="P34" s="20">
        <v>0.3541666666666667</v>
      </c>
      <c r="Q34" s="20">
        <v>0.6875</v>
      </c>
      <c r="R34" s="21">
        <f t="shared" si="15"/>
        <v>8</v>
      </c>
      <c r="S34" s="4"/>
      <c r="T34" s="4"/>
      <c r="U34" s="4"/>
      <c r="V34" s="4"/>
      <c r="W34" s="4"/>
      <c r="X34" s="4"/>
      <c r="Y34" s="4"/>
      <c r="Z34" s="4"/>
    </row>
    <row r="35">
      <c r="A35" s="15">
        <f t="shared" si="14"/>
        <v>46228</v>
      </c>
      <c r="B35" s="16" t="str">
        <f t="shared" si="10"/>
        <v>Sat</v>
      </c>
      <c r="C35" s="18"/>
      <c r="D35" s="18"/>
      <c r="E35" s="18"/>
      <c r="F35" s="18"/>
      <c r="G35" s="18" t="str">
        <f>IF(COUNTIF(Holidays!$A$2:$A$12,$A35)&gt;0, 8,"")</f>
        <v/>
      </c>
      <c r="H35" s="18"/>
      <c r="I35" s="18"/>
      <c r="J35" s="18"/>
      <c r="K35" s="18"/>
      <c r="L35" s="18"/>
      <c r="M35" s="16" t="str">
        <f t="shared" si="11"/>
        <v/>
      </c>
      <c r="N35" s="16" t="str">
        <f t="shared" si="12"/>
        <v/>
      </c>
      <c r="O35" s="4"/>
      <c r="P35" s="20"/>
      <c r="Q35" s="20"/>
      <c r="R35" s="21"/>
      <c r="S35" s="4"/>
      <c r="T35" s="4"/>
      <c r="U35" s="4"/>
      <c r="V35" s="4"/>
      <c r="W35" s="4"/>
      <c r="X35" s="4"/>
      <c r="Y35" s="4"/>
      <c r="Z35" s="4"/>
    </row>
    <row r="36">
      <c r="A36" s="15">
        <f t="shared" si="14"/>
        <v>46229</v>
      </c>
      <c r="B36" s="16" t="str">
        <f t="shared" si="10"/>
        <v>Sun</v>
      </c>
      <c r="C36" s="17"/>
      <c r="D36" s="18"/>
      <c r="E36" s="18"/>
      <c r="F36" s="18"/>
      <c r="G36" s="18" t="str">
        <f>IF(COUNTIF(Holidays!$A$2:$A$12,$A36)&gt;0, 8,"")</f>
        <v/>
      </c>
      <c r="H36" s="18"/>
      <c r="I36" s="18"/>
      <c r="J36" s="18"/>
      <c r="K36" s="18"/>
      <c r="L36" s="18"/>
      <c r="M36" s="16" t="str">
        <f t="shared" si="11"/>
        <v/>
      </c>
      <c r="N36" s="16" t="str">
        <f t="shared" si="12"/>
        <v/>
      </c>
      <c r="O36" s="4"/>
      <c r="P36" s="20"/>
      <c r="Q36" s="20"/>
      <c r="R36" s="21"/>
      <c r="S36" s="4"/>
      <c r="T36" s="4"/>
      <c r="U36" s="4"/>
      <c r="V36" s="4"/>
      <c r="W36" s="4"/>
      <c r="X36" s="4"/>
      <c r="Y36" s="4"/>
      <c r="Z36" s="4"/>
    </row>
    <row r="37">
      <c r="A37" s="15">
        <f t="shared" si="14"/>
        <v>46230</v>
      </c>
      <c r="B37" s="16" t="str">
        <f t="shared" si="10"/>
        <v>Mon</v>
      </c>
      <c r="C37" s="17">
        <v>7.5</v>
      </c>
      <c r="D37" s="17"/>
      <c r="E37" s="18"/>
      <c r="F37" s="18"/>
      <c r="G37" s="18" t="str">
        <f>IF(COUNTIF(Holidays!$A$2:$A$12,$A37)&gt;0, 8,"")</f>
        <v/>
      </c>
      <c r="H37" s="18"/>
      <c r="I37" s="18"/>
      <c r="J37" s="18"/>
      <c r="K37" s="18"/>
      <c r="L37" s="18"/>
      <c r="M37" s="16">
        <f t="shared" si="11"/>
        <v>7.5</v>
      </c>
      <c r="N37" s="16">
        <f t="shared" si="12"/>
        <v>8</v>
      </c>
      <c r="O37" s="4"/>
      <c r="P37" s="20">
        <v>0.3125</v>
      </c>
      <c r="Q37" s="20">
        <v>0.625</v>
      </c>
      <c r="R37" s="21">
        <f t="shared" ref="R37:R41" si="16">(Q37-P37)*24</f>
        <v>7.5</v>
      </c>
      <c r="S37" s="4"/>
      <c r="T37" s="4"/>
      <c r="U37" s="4"/>
      <c r="V37" s="4"/>
      <c r="W37" s="4"/>
      <c r="X37" s="4"/>
      <c r="Y37" s="4"/>
      <c r="Z37" s="4"/>
    </row>
    <row r="38">
      <c r="A38" s="15">
        <f t="shared" si="14"/>
        <v>46231</v>
      </c>
      <c r="B38" s="16" t="str">
        <f t="shared" si="10"/>
        <v>Tue</v>
      </c>
      <c r="C38" s="17">
        <v>9.0</v>
      </c>
      <c r="D38" s="17">
        <v>0.75</v>
      </c>
      <c r="E38" s="18"/>
      <c r="F38" s="18"/>
      <c r="G38" s="18" t="str">
        <f>IF(COUNTIF(Holidays!$A$2:$A$12,$A38)&gt;0, 8,"")</f>
        <v/>
      </c>
      <c r="H38" s="18"/>
      <c r="I38" s="18"/>
      <c r="J38" s="18"/>
      <c r="K38" s="18"/>
      <c r="L38" s="18"/>
      <c r="M38" s="16">
        <f t="shared" si="11"/>
        <v>9.75</v>
      </c>
      <c r="N38" s="16">
        <f t="shared" si="12"/>
        <v>8</v>
      </c>
      <c r="O38" s="4"/>
      <c r="P38" s="20">
        <v>0.3333333333333333</v>
      </c>
      <c r="Q38" s="20">
        <v>0.7395833333333334</v>
      </c>
      <c r="R38" s="21">
        <f t="shared" si="16"/>
        <v>9.75</v>
      </c>
      <c r="S38" s="4"/>
      <c r="T38" s="4"/>
      <c r="U38" s="4"/>
      <c r="V38" s="4"/>
      <c r="W38" s="4"/>
      <c r="X38" s="4"/>
      <c r="Y38" s="4"/>
      <c r="Z38" s="4"/>
    </row>
    <row r="39">
      <c r="A39" s="15">
        <f t="shared" si="14"/>
        <v>46232</v>
      </c>
      <c r="B39" s="16" t="str">
        <f t="shared" si="10"/>
        <v>Wed</v>
      </c>
      <c r="C39" s="17">
        <v>8.5</v>
      </c>
      <c r="D39" s="17"/>
      <c r="E39" s="18"/>
      <c r="F39" s="18"/>
      <c r="G39" s="18" t="str">
        <f>IF(COUNTIF(Holidays!$A$2:$A$12,$A39)&gt;0, 8,"")</f>
        <v/>
      </c>
      <c r="H39" s="18"/>
      <c r="I39" s="18"/>
      <c r="J39" s="18"/>
      <c r="K39" s="18"/>
      <c r="L39" s="18"/>
      <c r="M39" s="16">
        <f t="shared" si="11"/>
        <v>8.5</v>
      </c>
      <c r="N39" s="16">
        <f t="shared" si="12"/>
        <v>8</v>
      </c>
      <c r="O39" s="4"/>
      <c r="P39" s="20">
        <v>0.34375</v>
      </c>
      <c r="Q39" s="20">
        <v>0.6979166666666666</v>
      </c>
      <c r="R39" s="21">
        <f t="shared" si="16"/>
        <v>8.5</v>
      </c>
      <c r="S39" s="4"/>
      <c r="T39" s="4"/>
      <c r="U39" s="4"/>
      <c r="V39" s="4"/>
      <c r="W39" s="4"/>
      <c r="X39" s="4"/>
      <c r="Y39" s="4"/>
      <c r="Z39" s="4"/>
    </row>
    <row r="40">
      <c r="A40" s="15">
        <f t="shared" si="14"/>
        <v>46233</v>
      </c>
      <c r="B40" s="16" t="str">
        <f t="shared" si="10"/>
        <v>Thu</v>
      </c>
      <c r="C40" s="17">
        <v>8.0</v>
      </c>
      <c r="D40" s="17">
        <v>0.25</v>
      </c>
      <c r="E40" s="18"/>
      <c r="F40" s="18"/>
      <c r="G40" s="18" t="str">
        <f>IF(COUNTIF(Holidays!$A$2:$A$12,$A40)&gt;0, 8,"")</f>
        <v/>
      </c>
      <c r="H40" s="18"/>
      <c r="I40" s="18"/>
      <c r="J40" s="18"/>
      <c r="K40" s="18"/>
      <c r="L40" s="18"/>
      <c r="M40" s="16">
        <f t="shared" si="11"/>
        <v>8.25</v>
      </c>
      <c r="N40" s="16">
        <f t="shared" si="12"/>
        <v>8</v>
      </c>
      <c r="O40" s="4"/>
      <c r="P40" s="20">
        <v>0.3854166666666667</v>
      </c>
      <c r="Q40" s="20">
        <v>0.75</v>
      </c>
      <c r="R40" s="21">
        <f t="shared" si="16"/>
        <v>8.75</v>
      </c>
      <c r="S40" s="4"/>
      <c r="T40" s="4"/>
      <c r="U40" s="4"/>
      <c r="V40" s="4"/>
      <c r="W40" s="4"/>
      <c r="X40" s="4"/>
      <c r="Y40" s="4"/>
      <c r="Z40" s="4"/>
    </row>
    <row r="41">
      <c r="A41" s="15">
        <f t="shared" si="14"/>
        <v>46234</v>
      </c>
      <c r="B41" s="16" t="str">
        <f t="shared" si="10"/>
        <v>Fri</v>
      </c>
      <c r="C41" s="17">
        <v>8.0</v>
      </c>
      <c r="D41" s="17">
        <v>1.5</v>
      </c>
      <c r="E41" s="18"/>
      <c r="F41" s="18"/>
      <c r="G41" s="18" t="str">
        <f>IF(COUNTIF(Holidays!$A$2:$A$12,$A41)&gt;0, 8,"")</f>
        <v/>
      </c>
      <c r="H41" s="18"/>
      <c r="I41" s="18"/>
      <c r="J41" s="18"/>
      <c r="K41" s="18"/>
      <c r="L41" s="18"/>
      <c r="M41" s="16">
        <f t="shared" si="11"/>
        <v>9.5</v>
      </c>
      <c r="N41" s="16">
        <f t="shared" si="12"/>
        <v>8</v>
      </c>
      <c r="O41" s="4"/>
      <c r="P41" s="20">
        <v>0.3125</v>
      </c>
      <c r="Q41" s="20">
        <v>0.7083333333333334</v>
      </c>
      <c r="R41" s="21">
        <f t="shared" si="16"/>
        <v>9.5</v>
      </c>
      <c r="S41" s="4"/>
      <c r="T41" s="4"/>
      <c r="U41" s="4"/>
      <c r="V41" s="4"/>
      <c r="W41" s="4"/>
      <c r="X41" s="4"/>
      <c r="Y41" s="4"/>
      <c r="Z41" s="4"/>
    </row>
    <row r="42">
      <c r="A42" s="2" t="s">
        <v>47</v>
      </c>
      <c r="C42" s="14">
        <f t="shared" ref="C42:N42" si="17">sum(C26:C41)</f>
        <v>96</v>
      </c>
      <c r="D42" s="14">
        <f t="shared" si="17"/>
        <v>4</v>
      </c>
      <c r="E42" s="14">
        <f t="shared" si="17"/>
        <v>0</v>
      </c>
      <c r="F42" s="14">
        <f t="shared" si="17"/>
        <v>0</v>
      </c>
      <c r="G42" s="14">
        <f t="shared" si="17"/>
        <v>0</v>
      </c>
      <c r="H42" s="14">
        <f t="shared" si="17"/>
        <v>0</v>
      </c>
      <c r="I42" s="14">
        <f t="shared" si="17"/>
        <v>0</v>
      </c>
      <c r="J42" s="14">
        <f t="shared" si="17"/>
        <v>0</v>
      </c>
      <c r="K42" s="14">
        <f t="shared" si="17"/>
        <v>0</v>
      </c>
      <c r="L42" s="14">
        <f t="shared" si="17"/>
        <v>0</v>
      </c>
      <c r="M42" s="14">
        <f t="shared" si="17"/>
        <v>100</v>
      </c>
      <c r="N42" s="14">
        <f t="shared" si="17"/>
        <v>96</v>
      </c>
      <c r="O42" s="4"/>
      <c r="P42" s="4"/>
      <c r="Q42" s="4"/>
      <c r="R42" s="24">
        <f>sum(R26:R41)</f>
        <v>100.5</v>
      </c>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4">
    <mergeCell ref="M2:N2"/>
    <mergeCell ref="P2:Q2"/>
    <mergeCell ref="A22:B22"/>
    <mergeCell ref="A42:B42"/>
  </mergeCells>
  <conditionalFormatting sqref="C7:L21 C26:L41">
    <cfRule type="expression" dxfId="0" priority="1">
      <formula>OR($B7="Sat", $B7="Sun")</formula>
    </cfRule>
  </conditionalFormatting>
  <conditionalFormatting sqref="C7:L21 C26:L41">
    <cfRule type="notContainsBlanks" dxfId="1" priority="2">
      <formula>LEN(TRIM(C7))&gt;0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s>
  <sheetData>
    <row r="1">
      <c r="A1" s="2" t="s">
        <v>62</v>
      </c>
      <c r="B1" s="2" t="s">
        <v>4</v>
      </c>
      <c r="C1" s="2" t="s">
        <v>6</v>
      </c>
      <c r="D1" s="2" t="s">
        <v>7</v>
      </c>
      <c r="E1" s="2" t="s">
        <v>9</v>
      </c>
      <c r="F1" s="4"/>
      <c r="I1" s="4"/>
      <c r="J1" s="4"/>
      <c r="K1" s="4"/>
      <c r="L1" s="4"/>
      <c r="M1" s="4"/>
      <c r="N1" s="4"/>
      <c r="O1" s="4"/>
      <c r="P1" s="4"/>
      <c r="Q1" s="4"/>
      <c r="R1" s="4"/>
      <c r="S1" s="4"/>
      <c r="T1" s="4"/>
      <c r="U1" s="4"/>
      <c r="V1" s="4"/>
      <c r="W1" s="4"/>
      <c r="X1" s="4"/>
      <c r="Y1" s="4"/>
      <c r="Z1" s="4"/>
    </row>
    <row r="2">
      <c r="A2" s="8" t="s">
        <v>13</v>
      </c>
      <c r="B2" s="12">
        <f t="array" ref="B2">INDIRECT(TEXT(EDATE(DATE(2026, MATCH($A$1, {"January","February","March","April","May","June","July","August","September","October","November","December"}, 0), 1), -1), "mmm") &amp; " 26!B4")</f>
        <v>83.5</v>
      </c>
      <c r="C2" s="12">
        <f t="array" ref="C2">INDIRECT(TEXT(EDATE(DATE(2026, MATCH($A$1, {"January","February","March","April","May","June","July","August","September","October","November","December"}, 0), 1), -1), "mmm") &amp; " 26!C4")</f>
        <v>11.5</v>
      </c>
      <c r="D2" s="12">
        <f t="array" ref="D2">INDIRECT(TEXT(EDATE(DATE(2026, MATCH($A$1, {"January","February","March","April","May","June","July","August","September","October","November","December"}, 0), 1), -1), "mmm") &amp; " 26!D4")</f>
        <v>8</v>
      </c>
      <c r="E2" s="12">
        <f t="array" ref="E2">INDIRECT(TEXT(EDATE(DATE(2026, MATCH($A$1, {"January","February","March","April","May","June","July","August","September","October","November","December"}, 0), 1), -1), "mmm") &amp; " 26!E4")</f>
        <v>40</v>
      </c>
      <c r="F2" s="4"/>
      <c r="G2" s="2" t="s">
        <v>8</v>
      </c>
      <c r="H2" s="12">
        <f>'START HERE'!B6</f>
        <v>5</v>
      </c>
      <c r="I2" s="4"/>
      <c r="J2" s="4"/>
      <c r="K2" s="4"/>
      <c r="L2" s="4"/>
      <c r="M2" s="13"/>
      <c r="O2" s="4"/>
      <c r="P2" s="13"/>
      <c r="R2" s="4"/>
      <c r="S2" s="4"/>
      <c r="T2" s="4"/>
      <c r="U2" s="4"/>
      <c r="V2" s="4"/>
      <c r="W2" s="4"/>
      <c r="X2" s="4"/>
      <c r="Y2" s="4"/>
      <c r="Z2" s="4"/>
    </row>
    <row r="3">
      <c r="A3" s="8" t="s">
        <v>23</v>
      </c>
      <c r="B3" s="12">
        <f>B2+H2-F22</f>
        <v>88.5</v>
      </c>
      <c r="C3" s="12">
        <f>C2+D22-E22</f>
        <v>17.25</v>
      </c>
      <c r="D3" s="12">
        <f t="shared" ref="D3:E3" si="1">D2-I22</f>
        <v>8</v>
      </c>
      <c r="E3" s="12">
        <f t="shared" si="1"/>
        <v>40</v>
      </c>
      <c r="F3" s="4"/>
      <c r="G3" s="4"/>
      <c r="H3" s="4"/>
      <c r="I3" s="4"/>
      <c r="J3" s="4"/>
      <c r="K3" s="4"/>
      <c r="L3" s="4"/>
      <c r="M3" s="4"/>
      <c r="N3" s="4"/>
      <c r="O3" s="4"/>
      <c r="P3" s="4"/>
      <c r="Q3" s="4"/>
      <c r="R3" s="4"/>
      <c r="S3" s="4"/>
      <c r="T3" s="4"/>
      <c r="U3" s="4"/>
      <c r="V3" s="4"/>
      <c r="W3" s="4"/>
      <c r="X3" s="4"/>
      <c r="Y3" s="4"/>
      <c r="Z3" s="4"/>
    </row>
    <row r="4">
      <c r="A4" s="8" t="s">
        <v>25</v>
      </c>
      <c r="B4" s="12">
        <f>B3+H2-F42</f>
        <v>72.5</v>
      </c>
      <c r="C4" s="12">
        <f>C3+D42-E42</f>
        <v>1.25</v>
      </c>
      <c r="D4" s="12">
        <f t="shared" ref="D4:E4" si="2">D3-I42</f>
        <v>8</v>
      </c>
      <c r="E4" s="12">
        <f t="shared" si="2"/>
        <v>40</v>
      </c>
      <c r="F4" s="4"/>
      <c r="G4" s="4"/>
      <c r="H4" s="4"/>
      <c r="I4" s="4"/>
      <c r="J4" s="4"/>
      <c r="K4" s="4"/>
      <c r="L4" s="4"/>
      <c r="M4" s="4"/>
      <c r="N4" s="4"/>
      <c r="O4" s="4"/>
      <c r="P4" s="4"/>
      <c r="Q4" s="4"/>
      <c r="R4" s="4"/>
      <c r="S4" s="4"/>
      <c r="T4" s="4"/>
      <c r="U4" s="4"/>
      <c r="V4" s="4"/>
      <c r="W4" s="4"/>
      <c r="X4" s="4"/>
      <c r="Y4" s="4"/>
      <c r="Z4" s="4"/>
    </row>
    <row r="5">
      <c r="A5" s="4"/>
      <c r="B5" s="4"/>
      <c r="C5" s="4"/>
      <c r="D5" s="4"/>
      <c r="E5" s="4"/>
      <c r="F5" s="4"/>
      <c r="G5" s="4"/>
      <c r="H5" s="4"/>
      <c r="I5" s="4"/>
      <c r="J5" s="4"/>
      <c r="K5" s="4"/>
      <c r="L5" s="4"/>
      <c r="M5" s="4"/>
      <c r="N5" s="4"/>
      <c r="O5" s="4"/>
      <c r="P5" s="13" t="s">
        <v>26</v>
      </c>
      <c r="Q5" s="13" t="s">
        <v>27</v>
      </c>
      <c r="R5" s="13" t="s">
        <v>28</v>
      </c>
      <c r="S5" s="4"/>
      <c r="T5" s="4"/>
      <c r="U5" s="4"/>
      <c r="V5" s="4"/>
      <c r="W5" s="4"/>
      <c r="X5" s="4"/>
      <c r="Y5" s="4"/>
      <c r="Z5" s="4"/>
    </row>
    <row r="6">
      <c r="A6" s="2" t="s">
        <v>29</v>
      </c>
      <c r="B6" s="2" t="s">
        <v>30</v>
      </c>
      <c r="C6" s="14" t="str">
        <f t="array" ref="C6:L6">TRANSPOSE('Time Types'!A2:A11)</f>
        <v>Regular</v>
      </c>
      <c r="D6" s="14" t="s">
        <v>31</v>
      </c>
      <c r="E6" s="14" t="s">
        <v>32</v>
      </c>
      <c r="F6" s="14" t="s">
        <v>12</v>
      </c>
      <c r="G6" s="14" t="s">
        <v>33</v>
      </c>
      <c r="H6" s="14" t="s">
        <v>34</v>
      </c>
      <c r="I6" s="14" t="s">
        <v>14</v>
      </c>
      <c r="J6" s="14" t="s">
        <v>16</v>
      </c>
      <c r="K6" s="14" t="s">
        <v>35</v>
      </c>
      <c r="L6" s="14" t="s">
        <v>36</v>
      </c>
      <c r="M6" s="2" t="s">
        <v>37</v>
      </c>
      <c r="N6" s="2" t="s">
        <v>38</v>
      </c>
      <c r="O6" s="4"/>
      <c r="P6" s="4"/>
      <c r="Q6" s="4"/>
      <c r="R6" s="4"/>
      <c r="S6" s="4"/>
      <c r="T6" s="4"/>
      <c r="U6" s="4"/>
      <c r="V6" s="4"/>
      <c r="W6" s="4"/>
      <c r="X6" s="4"/>
      <c r="Y6" s="4"/>
      <c r="Z6" s="4"/>
    </row>
    <row r="7">
      <c r="A7" s="15">
        <f>DATE(2026, MONTH(DATEVALUE($A$1 &amp; " 1")), 1)</f>
        <v>46235</v>
      </c>
      <c r="B7" s="16" t="str">
        <f t="shared" ref="B7:B21" si="3">text(A7,"ddd")</f>
        <v>Sat</v>
      </c>
      <c r="C7" s="18"/>
      <c r="D7" s="18"/>
      <c r="E7" s="18"/>
      <c r="F7" s="18"/>
      <c r="G7" s="18" t="str">
        <f>IF(COUNTIF(Holidays!$A$2:$A$12,$A7)&gt;0, 8,"")</f>
        <v/>
      </c>
      <c r="H7" s="18"/>
      <c r="I7" s="18"/>
      <c r="J7" s="18"/>
      <c r="K7" s="18"/>
      <c r="L7" s="18"/>
      <c r="M7" s="16" t="str">
        <f t="shared" ref="M7:M21" si="4">IF(OR(B7="Sat", B7="Sun"), "", sum(C7:J7))</f>
        <v/>
      </c>
      <c r="N7" s="16" t="str">
        <f t="shared" ref="N7:N21" si="5">IF(OR(B7="Sat", B7="Sun"), "", 8)</f>
        <v/>
      </c>
      <c r="O7" s="4"/>
      <c r="P7" s="19"/>
      <c r="Q7" s="20"/>
      <c r="R7" s="21"/>
      <c r="S7" s="4"/>
      <c r="T7" s="4"/>
      <c r="U7" s="4"/>
      <c r="V7" s="4"/>
      <c r="W7" s="4"/>
      <c r="X7" s="4"/>
      <c r="Y7" s="4"/>
      <c r="Z7" s="4"/>
    </row>
    <row r="8">
      <c r="A8" s="15">
        <f t="shared" ref="A8:A21" si="6">A7+1</f>
        <v>46236</v>
      </c>
      <c r="B8" s="16" t="str">
        <f t="shared" si="3"/>
        <v>Sun</v>
      </c>
      <c r="C8" s="17"/>
      <c r="D8" s="18"/>
      <c r="E8" s="18"/>
      <c r="F8" s="18"/>
      <c r="G8" s="18" t="str">
        <f>IF(COUNTIF(Holidays!$A$2:$A$12,$A8)&gt;0, 8,"")</f>
        <v/>
      </c>
      <c r="H8" s="18"/>
      <c r="I8" s="18"/>
      <c r="J8" s="18"/>
      <c r="K8" s="18"/>
      <c r="L8" s="18"/>
      <c r="M8" s="16" t="str">
        <f t="shared" si="4"/>
        <v/>
      </c>
      <c r="N8" s="16" t="str">
        <f t="shared" si="5"/>
        <v/>
      </c>
      <c r="O8" s="4"/>
      <c r="P8" s="19"/>
      <c r="Q8" s="20"/>
      <c r="R8" s="13"/>
      <c r="S8" s="4"/>
      <c r="T8" s="4"/>
      <c r="U8" s="4"/>
      <c r="V8" s="4"/>
      <c r="W8" s="4"/>
      <c r="X8" s="4"/>
      <c r="Y8" s="4"/>
      <c r="Z8" s="4"/>
    </row>
    <row r="9">
      <c r="A9" s="15">
        <f t="shared" si="6"/>
        <v>46237</v>
      </c>
      <c r="B9" s="16" t="str">
        <f t="shared" si="3"/>
        <v>Mon</v>
      </c>
      <c r="C9" s="17">
        <v>8.0</v>
      </c>
      <c r="D9" s="17">
        <v>1.75</v>
      </c>
      <c r="E9" s="18"/>
      <c r="F9" s="18"/>
      <c r="G9" s="18" t="str">
        <f>IF(COUNTIF(Holidays!$A$2:$A$12,$A9)&gt;0, 8,"")</f>
        <v/>
      </c>
      <c r="H9" s="18"/>
      <c r="I9" s="18"/>
      <c r="J9" s="18"/>
      <c r="K9" s="18"/>
      <c r="L9" s="18"/>
      <c r="M9" s="16">
        <f t="shared" si="4"/>
        <v>9.75</v>
      </c>
      <c r="N9" s="16">
        <f t="shared" si="5"/>
        <v>8</v>
      </c>
      <c r="O9" s="4"/>
      <c r="P9" s="19">
        <v>0.3333333333333333</v>
      </c>
      <c r="Q9" s="20">
        <v>0.7395833333333334</v>
      </c>
      <c r="R9" s="21">
        <f t="shared" ref="R9:R13" si="7">(Q9-P9)*24</f>
        <v>9.75</v>
      </c>
      <c r="S9" s="4"/>
      <c r="T9" s="4"/>
      <c r="U9" s="4"/>
      <c r="V9" s="4"/>
      <c r="W9" s="4"/>
      <c r="X9" s="4"/>
      <c r="Y9" s="4"/>
      <c r="Z9" s="4"/>
    </row>
    <row r="10">
      <c r="A10" s="15">
        <f t="shared" si="6"/>
        <v>46238</v>
      </c>
      <c r="B10" s="16" t="str">
        <f t="shared" si="3"/>
        <v>Tue</v>
      </c>
      <c r="C10" s="17">
        <v>8.0</v>
      </c>
      <c r="D10" s="17">
        <v>1.0</v>
      </c>
      <c r="E10" s="18"/>
      <c r="F10" s="18"/>
      <c r="G10" s="18" t="str">
        <f>IF(COUNTIF(Holidays!$A$2:$A$12,$A10)&gt;0, 8,"")</f>
        <v/>
      </c>
      <c r="H10" s="18"/>
      <c r="I10" s="18"/>
      <c r="J10" s="18"/>
      <c r="K10" s="18"/>
      <c r="L10" s="18"/>
      <c r="M10" s="16">
        <f t="shared" si="4"/>
        <v>9</v>
      </c>
      <c r="N10" s="16">
        <f t="shared" si="5"/>
        <v>8</v>
      </c>
      <c r="O10" s="4"/>
      <c r="P10" s="19">
        <v>0.3541666666666667</v>
      </c>
      <c r="Q10" s="20">
        <v>0.7291666666666666</v>
      </c>
      <c r="R10" s="21">
        <f t="shared" si="7"/>
        <v>9</v>
      </c>
      <c r="S10" s="4"/>
      <c r="T10" s="4"/>
      <c r="U10" s="4"/>
      <c r="V10" s="4"/>
      <c r="W10" s="4"/>
      <c r="X10" s="4"/>
      <c r="Y10" s="4"/>
      <c r="Z10" s="4"/>
    </row>
    <row r="11">
      <c r="A11" s="15">
        <f t="shared" si="6"/>
        <v>46239</v>
      </c>
      <c r="B11" s="16" t="str">
        <f t="shared" si="3"/>
        <v>Wed</v>
      </c>
      <c r="C11" s="17">
        <v>8.0</v>
      </c>
      <c r="D11" s="17">
        <v>1.25</v>
      </c>
      <c r="E11" s="18"/>
      <c r="F11" s="18"/>
      <c r="G11" s="18" t="str">
        <f>IF(COUNTIF(Holidays!$A$2:$A$12,$A11)&gt;0, 8,"")</f>
        <v/>
      </c>
      <c r="H11" s="18"/>
      <c r="I11" s="18"/>
      <c r="J11" s="18"/>
      <c r="K11" s="18"/>
      <c r="L11" s="18"/>
      <c r="M11" s="16">
        <f t="shared" si="4"/>
        <v>9.25</v>
      </c>
      <c r="N11" s="16">
        <f t="shared" si="5"/>
        <v>8</v>
      </c>
      <c r="O11" s="4"/>
      <c r="P11" s="19">
        <v>0.3055555555555556</v>
      </c>
      <c r="Q11" s="20">
        <v>0.6909722222222222</v>
      </c>
      <c r="R11" s="21">
        <f t="shared" si="7"/>
        <v>9.25</v>
      </c>
      <c r="S11" s="4"/>
      <c r="T11" s="4"/>
      <c r="U11" s="4"/>
      <c r="V11" s="4"/>
      <c r="W11" s="4"/>
      <c r="X11" s="4"/>
      <c r="Y11" s="4"/>
      <c r="Z11" s="4"/>
    </row>
    <row r="12">
      <c r="A12" s="15">
        <f t="shared" si="6"/>
        <v>46240</v>
      </c>
      <c r="B12" s="16" t="str">
        <f t="shared" si="3"/>
        <v>Thu</v>
      </c>
      <c r="C12" s="17">
        <v>8.5</v>
      </c>
      <c r="D12" s="17">
        <v>0.75</v>
      </c>
      <c r="E12" s="18"/>
      <c r="F12" s="18"/>
      <c r="G12" s="18" t="str">
        <f>IF(COUNTIF(Holidays!$A$2:$A$12,$A12)&gt;0, 8,"")</f>
        <v/>
      </c>
      <c r="H12" s="18"/>
      <c r="I12" s="18"/>
      <c r="J12" s="18"/>
      <c r="K12" s="18"/>
      <c r="L12" s="18"/>
      <c r="M12" s="16">
        <f t="shared" si="4"/>
        <v>9.25</v>
      </c>
      <c r="N12" s="16">
        <f t="shared" si="5"/>
        <v>8</v>
      </c>
      <c r="O12" s="4"/>
      <c r="P12" s="19">
        <v>0.3645833333333333</v>
      </c>
      <c r="Q12" s="20">
        <v>0.75</v>
      </c>
      <c r="R12" s="21">
        <f t="shared" si="7"/>
        <v>9.25</v>
      </c>
      <c r="S12" s="4"/>
      <c r="T12" s="4"/>
      <c r="U12" s="4"/>
      <c r="V12" s="4"/>
      <c r="W12" s="4"/>
      <c r="X12" s="4"/>
      <c r="Y12" s="4"/>
      <c r="Z12" s="4"/>
    </row>
    <row r="13">
      <c r="A13" s="15">
        <f t="shared" si="6"/>
        <v>46241</v>
      </c>
      <c r="B13" s="16" t="str">
        <f t="shared" si="3"/>
        <v>Fri</v>
      </c>
      <c r="C13" s="17">
        <v>7.5</v>
      </c>
      <c r="D13" s="17"/>
      <c r="E13" s="18"/>
      <c r="F13" s="18"/>
      <c r="G13" s="18" t="str">
        <f>IF(COUNTIF(Holidays!$A$2:$A$12,$A13)&gt;0, 8,"")</f>
        <v/>
      </c>
      <c r="H13" s="18"/>
      <c r="I13" s="18"/>
      <c r="J13" s="18"/>
      <c r="K13" s="18"/>
      <c r="L13" s="18"/>
      <c r="M13" s="16">
        <f t="shared" si="4"/>
        <v>7.5</v>
      </c>
      <c r="N13" s="16">
        <f t="shared" si="5"/>
        <v>8</v>
      </c>
      <c r="O13" s="4"/>
      <c r="P13" s="19">
        <v>0.34375</v>
      </c>
      <c r="Q13" s="20">
        <v>0.65625</v>
      </c>
      <c r="R13" s="21">
        <f t="shared" si="7"/>
        <v>7.5</v>
      </c>
      <c r="S13" s="4"/>
      <c r="T13" s="4"/>
      <c r="U13" s="4"/>
      <c r="V13" s="4"/>
      <c r="W13" s="4"/>
      <c r="X13" s="4"/>
      <c r="Y13" s="4"/>
      <c r="Z13" s="4"/>
    </row>
    <row r="14">
      <c r="A14" s="15">
        <f t="shared" si="6"/>
        <v>46242</v>
      </c>
      <c r="B14" s="16" t="str">
        <f t="shared" si="3"/>
        <v>Sat</v>
      </c>
      <c r="C14" s="17"/>
      <c r="D14" s="18"/>
      <c r="E14" s="18"/>
      <c r="F14" s="18"/>
      <c r="G14" s="18" t="str">
        <f>IF(COUNTIF(Holidays!$A$2:$A$12,$A14)&gt;0, 8,"")</f>
        <v/>
      </c>
      <c r="H14" s="18"/>
      <c r="I14" s="18"/>
      <c r="J14" s="18"/>
      <c r="K14" s="18"/>
      <c r="L14" s="18"/>
      <c r="M14" s="16" t="str">
        <f t="shared" si="4"/>
        <v/>
      </c>
      <c r="N14" s="16" t="str">
        <f t="shared" si="5"/>
        <v/>
      </c>
      <c r="O14" s="4"/>
      <c r="P14" s="19"/>
      <c r="Q14" s="20"/>
      <c r="R14" s="21"/>
      <c r="S14" s="4"/>
      <c r="T14" s="4"/>
      <c r="U14" s="4"/>
      <c r="V14" s="4"/>
      <c r="W14" s="4"/>
      <c r="X14" s="4"/>
      <c r="Y14" s="4"/>
      <c r="Z14" s="4"/>
    </row>
    <row r="15">
      <c r="A15" s="15">
        <f t="shared" si="6"/>
        <v>46243</v>
      </c>
      <c r="B15" s="16" t="str">
        <f t="shared" si="3"/>
        <v>Sun</v>
      </c>
      <c r="C15" s="17"/>
      <c r="D15" s="17"/>
      <c r="E15" s="18"/>
      <c r="F15" s="18"/>
      <c r="G15" s="18" t="str">
        <f>IF(COUNTIF(Holidays!$A$2:$A$12,$A15)&gt;0, 8,"")</f>
        <v/>
      </c>
      <c r="H15" s="18"/>
      <c r="I15" s="18"/>
      <c r="J15" s="18"/>
      <c r="K15" s="18"/>
      <c r="L15" s="18"/>
      <c r="M15" s="16" t="str">
        <f t="shared" si="4"/>
        <v/>
      </c>
      <c r="N15" s="16" t="str">
        <f t="shared" si="5"/>
        <v/>
      </c>
      <c r="O15" s="4"/>
      <c r="P15" s="19"/>
      <c r="Q15" s="20"/>
      <c r="R15" s="21"/>
      <c r="S15" s="4"/>
      <c r="T15" s="4"/>
      <c r="U15" s="4"/>
      <c r="V15" s="4"/>
      <c r="W15" s="4"/>
      <c r="X15" s="4"/>
      <c r="Y15" s="4"/>
      <c r="Z15" s="4"/>
    </row>
    <row r="16">
      <c r="A16" s="15">
        <f t="shared" si="6"/>
        <v>46244</v>
      </c>
      <c r="B16" s="16" t="str">
        <f t="shared" si="3"/>
        <v>Mon</v>
      </c>
      <c r="C16" s="17">
        <v>9.0</v>
      </c>
      <c r="D16" s="17">
        <v>0.5</v>
      </c>
      <c r="E16" s="18"/>
      <c r="F16" s="18"/>
      <c r="G16" s="18" t="str">
        <f>IF(COUNTIF(Holidays!$A$2:$A$12,$A16)&gt;0, 8,"")</f>
        <v/>
      </c>
      <c r="H16" s="18"/>
      <c r="I16" s="18"/>
      <c r="J16" s="18"/>
      <c r="K16" s="18"/>
      <c r="L16" s="18"/>
      <c r="M16" s="16">
        <f t="shared" si="4"/>
        <v>9.5</v>
      </c>
      <c r="N16" s="16">
        <f t="shared" si="5"/>
        <v>8</v>
      </c>
      <c r="O16" s="4"/>
      <c r="P16" s="19">
        <v>0.34375</v>
      </c>
      <c r="Q16" s="20">
        <v>0.7395833333333334</v>
      </c>
      <c r="R16" s="21">
        <f t="shared" ref="R16:R20" si="8">(Q16-P16)*24</f>
        <v>9.5</v>
      </c>
      <c r="S16" s="4"/>
      <c r="T16" s="4"/>
      <c r="U16" s="4"/>
      <c r="V16" s="4"/>
      <c r="W16" s="4"/>
      <c r="X16" s="4"/>
      <c r="Y16" s="4"/>
      <c r="Z16" s="4"/>
    </row>
    <row r="17">
      <c r="A17" s="15">
        <f t="shared" si="6"/>
        <v>46245</v>
      </c>
      <c r="B17" s="16" t="str">
        <f t="shared" si="3"/>
        <v>Tue</v>
      </c>
      <c r="C17" s="17">
        <v>8.0</v>
      </c>
      <c r="D17" s="17">
        <v>0.25</v>
      </c>
      <c r="E17" s="18"/>
      <c r="F17" s="18"/>
      <c r="G17" s="18" t="str">
        <f>IF(COUNTIF(Holidays!$A$2:$A$12,$A17)&gt;0, 8,"")</f>
        <v/>
      </c>
      <c r="H17" s="18"/>
      <c r="I17" s="18"/>
      <c r="J17" s="18"/>
      <c r="K17" s="18"/>
      <c r="L17" s="18"/>
      <c r="M17" s="16">
        <f t="shared" si="4"/>
        <v>8.25</v>
      </c>
      <c r="N17" s="16">
        <f t="shared" si="5"/>
        <v>8</v>
      </c>
      <c r="O17" s="4"/>
      <c r="P17" s="19">
        <v>0.3958333333333333</v>
      </c>
      <c r="Q17" s="20">
        <v>0.7395833333333334</v>
      </c>
      <c r="R17" s="21">
        <f t="shared" si="8"/>
        <v>8.25</v>
      </c>
      <c r="S17" s="4"/>
      <c r="T17" s="4"/>
      <c r="U17" s="4"/>
      <c r="V17" s="4"/>
      <c r="W17" s="4"/>
      <c r="X17" s="4"/>
      <c r="Y17" s="4"/>
      <c r="Z17" s="4"/>
    </row>
    <row r="18">
      <c r="A18" s="15">
        <f t="shared" si="6"/>
        <v>46246</v>
      </c>
      <c r="B18" s="16" t="str">
        <f t="shared" si="3"/>
        <v>Wed</v>
      </c>
      <c r="C18" s="17">
        <v>8.25</v>
      </c>
      <c r="D18" s="17"/>
      <c r="E18" s="18"/>
      <c r="F18" s="18"/>
      <c r="G18" s="18" t="str">
        <f>IF(COUNTIF(Holidays!$A$2:$A$12,$A18)&gt;0, 8,"")</f>
        <v/>
      </c>
      <c r="H18" s="18"/>
      <c r="I18" s="18"/>
      <c r="J18" s="18"/>
      <c r="K18" s="18"/>
      <c r="L18" s="18"/>
      <c r="M18" s="16">
        <f t="shared" si="4"/>
        <v>8.25</v>
      </c>
      <c r="N18" s="16">
        <f t="shared" si="5"/>
        <v>8</v>
      </c>
      <c r="O18" s="4"/>
      <c r="P18" s="19">
        <v>0.34375</v>
      </c>
      <c r="Q18" s="20">
        <v>0.6979166666666666</v>
      </c>
      <c r="R18" s="21">
        <f t="shared" si="8"/>
        <v>8.5</v>
      </c>
      <c r="S18" s="4"/>
      <c r="T18" s="4"/>
      <c r="U18" s="4"/>
      <c r="V18" s="4"/>
      <c r="W18" s="4"/>
      <c r="X18" s="4"/>
      <c r="Y18" s="4"/>
      <c r="Z18" s="4"/>
    </row>
    <row r="19">
      <c r="A19" s="15">
        <f t="shared" si="6"/>
        <v>46247</v>
      </c>
      <c r="B19" s="16" t="str">
        <f t="shared" si="3"/>
        <v>Thu</v>
      </c>
      <c r="C19" s="17">
        <v>7.75</v>
      </c>
      <c r="D19" s="17"/>
      <c r="E19" s="18"/>
      <c r="F19" s="18"/>
      <c r="G19" s="18" t="str">
        <f>IF(COUNTIF(Holidays!$A$2:$A$12,$A19)&gt;0, 8,"")</f>
        <v/>
      </c>
      <c r="H19" s="18"/>
      <c r="I19" s="18"/>
      <c r="J19" s="18"/>
      <c r="K19" s="18"/>
      <c r="L19" s="18"/>
      <c r="M19" s="16">
        <f t="shared" si="4"/>
        <v>7.75</v>
      </c>
      <c r="N19" s="16">
        <f t="shared" si="5"/>
        <v>8</v>
      </c>
      <c r="O19" s="4"/>
      <c r="P19" s="19">
        <v>0.375</v>
      </c>
      <c r="Q19" s="20">
        <v>0.6979166666666666</v>
      </c>
      <c r="R19" s="21">
        <f t="shared" si="8"/>
        <v>7.75</v>
      </c>
      <c r="S19" s="4"/>
      <c r="T19" s="4"/>
      <c r="U19" s="4"/>
      <c r="V19" s="4"/>
      <c r="W19" s="4"/>
      <c r="X19" s="4"/>
      <c r="Y19" s="4"/>
      <c r="Z19" s="4"/>
    </row>
    <row r="20">
      <c r="A20" s="15">
        <f t="shared" si="6"/>
        <v>46248</v>
      </c>
      <c r="B20" s="16" t="str">
        <f t="shared" si="3"/>
        <v>Fri</v>
      </c>
      <c r="C20" s="17">
        <v>7.0</v>
      </c>
      <c r="D20" s="17">
        <v>0.25</v>
      </c>
      <c r="E20" s="18"/>
      <c r="F20" s="18"/>
      <c r="G20" s="18" t="str">
        <f>IF(COUNTIF(Holidays!$A$2:$A$12,$A20)&gt;0, 8,"")</f>
        <v/>
      </c>
      <c r="H20" s="18"/>
      <c r="I20" s="18"/>
      <c r="J20" s="18"/>
      <c r="K20" s="18"/>
      <c r="L20" s="18"/>
      <c r="M20" s="16">
        <f t="shared" si="4"/>
        <v>7.25</v>
      </c>
      <c r="N20" s="16">
        <f t="shared" si="5"/>
        <v>8</v>
      </c>
      <c r="O20" s="4"/>
      <c r="P20" s="19">
        <v>0.3125</v>
      </c>
      <c r="Q20" s="20">
        <v>0.7291666666666666</v>
      </c>
      <c r="R20" s="21">
        <f t="shared" si="8"/>
        <v>10</v>
      </c>
      <c r="S20" s="21">
        <f>R20-3</f>
        <v>7</v>
      </c>
      <c r="T20" s="4"/>
      <c r="U20" s="4"/>
      <c r="V20" s="4"/>
      <c r="W20" s="4"/>
      <c r="X20" s="4"/>
      <c r="Y20" s="4"/>
      <c r="Z20" s="4"/>
    </row>
    <row r="21">
      <c r="A21" s="15">
        <f t="shared" si="6"/>
        <v>46249</v>
      </c>
      <c r="B21" s="16" t="str">
        <f t="shared" si="3"/>
        <v>Sat</v>
      </c>
      <c r="C21" s="17"/>
      <c r="D21" s="18"/>
      <c r="E21" s="18"/>
      <c r="F21" s="18"/>
      <c r="G21" s="18" t="str">
        <f>IF(COUNTIF(Holidays!$A$2:$A$12,$A21)&gt;0, 8,"")</f>
        <v/>
      </c>
      <c r="H21" s="18"/>
      <c r="I21" s="18"/>
      <c r="J21" s="18"/>
      <c r="K21" s="18"/>
      <c r="L21" s="18"/>
      <c r="M21" s="16" t="str">
        <f t="shared" si="4"/>
        <v/>
      </c>
      <c r="N21" s="16" t="str">
        <f t="shared" si="5"/>
        <v/>
      </c>
      <c r="O21" s="4"/>
      <c r="P21" s="19"/>
      <c r="Q21" s="20"/>
      <c r="R21" s="21"/>
      <c r="S21" s="4"/>
      <c r="T21" s="4"/>
      <c r="U21" s="4"/>
      <c r="V21" s="4"/>
      <c r="W21" s="4"/>
      <c r="X21" s="4"/>
      <c r="Y21" s="4"/>
      <c r="Z21" s="4"/>
    </row>
    <row r="22">
      <c r="A22" s="2" t="s">
        <v>47</v>
      </c>
      <c r="C22" s="14">
        <f t="shared" ref="C22:N22" si="9">sum(C7:C21)</f>
        <v>80</v>
      </c>
      <c r="D22" s="14">
        <f t="shared" si="9"/>
        <v>5.75</v>
      </c>
      <c r="E22" s="14">
        <f t="shared" si="9"/>
        <v>0</v>
      </c>
      <c r="F22" s="14">
        <f t="shared" si="9"/>
        <v>0</v>
      </c>
      <c r="G22" s="14">
        <f t="shared" si="9"/>
        <v>0</v>
      </c>
      <c r="H22" s="14">
        <f t="shared" si="9"/>
        <v>0</v>
      </c>
      <c r="I22" s="14">
        <f t="shared" si="9"/>
        <v>0</v>
      </c>
      <c r="J22" s="14">
        <f t="shared" si="9"/>
        <v>0</v>
      </c>
      <c r="K22" s="14">
        <f t="shared" si="9"/>
        <v>0</v>
      </c>
      <c r="L22" s="14">
        <f t="shared" si="9"/>
        <v>0</v>
      </c>
      <c r="M22" s="14">
        <f t="shared" si="9"/>
        <v>85.75</v>
      </c>
      <c r="N22" s="14">
        <f t="shared" si="9"/>
        <v>80</v>
      </c>
      <c r="O22" s="4"/>
      <c r="P22" s="4"/>
      <c r="Q22" s="4"/>
      <c r="R22" s="24">
        <f>sum(R7:R21)</f>
        <v>88.75</v>
      </c>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2" t="s">
        <v>49</v>
      </c>
      <c r="B25" s="2" t="s">
        <v>30</v>
      </c>
      <c r="C25" s="14" t="str">
        <f t="array" ref="C25:L25">transpose('Time Types'!A2:A11)</f>
        <v>Regular</v>
      </c>
      <c r="D25" s="14" t="s">
        <v>31</v>
      </c>
      <c r="E25" s="14" t="s">
        <v>32</v>
      </c>
      <c r="F25" s="14" t="s">
        <v>12</v>
      </c>
      <c r="G25" s="14" t="s">
        <v>33</v>
      </c>
      <c r="H25" s="14" t="s">
        <v>34</v>
      </c>
      <c r="I25" s="14" t="s">
        <v>14</v>
      </c>
      <c r="J25" s="14" t="s">
        <v>16</v>
      </c>
      <c r="K25" s="14" t="s">
        <v>35</v>
      </c>
      <c r="L25" s="14" t="s">
        <v>36</v>
      </c>
      <c r="M25" s="2" t="s">
        <v>37</v>
      </c>
      <c r="N25" s="2" t="s">
        <v>38</v>
      </c>
      <c r="O25" s="4"/>
      <c r="P25" s="20"/>
      <c r="Q25" s="19"/>
      <c r="R25" s="21"/>
      <c r="S25" s="4"/>
      <c r="T25" s="4"/>
      <c r="U25" s="4"/>
      <c r="V25" s="4"/>
      <c r="W25" s="4"/>
      <c r="X25" s="4"/>
      <c r="Y25" s="4"/>
      <c r="Z25" s="4"/>
    </row>
    <row r="26">
      <c r="A26" s="15">
        <f>A21+1</f>
        <v>46250</v>
      </c>
      <c r="B26" s="16" t="str">
        <f t="shared" ref="B26:B41" si="10">text(A26,"ddd")</f>
        <v>Sun</v>
      </c>
      <c r="C26" s="17"/>
      <c r="D26" s="18"/>
      <c r="E26" s="18"/>
      <c r="F26" s="18"/>
      <c r="G26" s="18" t="str">
        <f>IF(COUNTIF(Holidays!$A$2:$A$12,$A26)&gt;0, 8,"")</f>
        <v/>
      </c>
      <c r="H26" s="18"/>
      <c r="I26" s="18"/>
      <c r="J26" s="18"/>
      <c r="K26" s="18"/>
      <c r="L26" s="18"/>
      <c r="M26" s="16" t="str">
        <f t="shared" ref="M26:M41" si="11">IF(OR(B26="Sat", B26="Sun"), "", sum(C26:J26))</f>
        <v/>
      </c>
      <c r="N26" s="16" t="str">
        <f t="shared" ref="N26:N41" si="12">IF(OR(B26="Sat", B26="Sun"), "", 8)</f>
        <v/>
      </c>
      <c r="O26" s="4"/>
      <c r="P26" s="13"/>
      <c r="Q26" s="13"/>
      <c r="R26" s="13"/>
      <c r="S26" s="4"/>
      <c r="T26" s="4"/>
      <c r="U26" s="4"/>
      <c r="V26" s="4"/>
      <c r="W26" s="4"/>
      <c r="X26" s="4"/>
      <c r="Y26" s="4"/>
      <c r="Z26" s="4"/>
    </row>
    <row r="27">
      <c r="A27" s="15">
        <f t="shared" ref="A27:A41" si="13">A26+1</f>
        <v>46251</v>
      </c>
      <c r="B27" s="16" t="str">
        <f t="shared" si="10"/>
        <v>Mon</v>
      </c>
      <c r="C27" s="17">
        <v>9.5</v>
      </c>
      <c r="D27" s="18"/>
      <c r="E27" s="18"/>
      <c r="F27" s="17"/>
      <c r="G27" s="18" t="str">
        <f>IF(COUNTIF(Holidays!$A$2:$A$12,$A27)&gt;0, 8,"")</f>
        <v/>
      </c>
      <c r="H27" s="18"/>
      <c r="I27" s="18"/>
      <c r="J27" s="18"/>
      <c r="K27" s="18"/>
      <c r="L27" s="18"/>
      <c r="M27" s="16">
        <f t="shared" si="11"/>
        <v>9.5</v>
      </c>
      <c r="N27" s="16">
        <f t="shared" si="12"/>
        <v>8</v>
      </c>
      <c r="O27" s="4"/>
      <c r="P27" s="19">
        <v>0.3402777777777778</v>
      </c>
      <c r="Q27" s="20">
        <v>0.7361111111111112</v>
      </c>
      <c r="R27" s="21">
        <f t="shared" ref="R27:R31" si="14">(Q27-P27)*24</f>
        <v>9.5</v>
      </c>
      <c r="S27" s="13">
        <v>9.5</v>
      </c>
      <c r="T27" s="4"/>
      <c r="U27" s="4"/>
      <c r="V27" s="4"/>
      <c r="W27" s="4"/>
      <c r="X27" s="4"/>
      <c r="Y27" s="4"/>
      <c r="Z27" s="4"/>
    </row>
    <row r="28">
      <c r="A28" s="15">
        <f t="shared" si="13"/>
        <v>46252</v>
      </c>
      <c r="B28" s="16" t="str">
        <f t="shared" si="10"/>
        <v>Tue</v>
      </c>
      <c r="C28" s="17">
        <v>9.25</v>
      </c>
      <c r="D28" s="18"/>
      <c r="E28" s="18"/>
      <c r="F28" s="17"/>
      <c r="G28" s="18" t="str">
        <f>IF(COUNTIF(Holidays!$A$2:$A$12,$A28)&gt;0, 8,"")</f>
        <v/>
      </c>
      <c r="H28" s="18"/>
      <c r="I28" s="18"/>
      <c r="J28" s="18"/>
      <c r="K28" s="18"/>
      <c r="L28" s="18"/>
      <c r="M28" s="16">
        <f t="shared" si="11"/>
        <v>9.25</v>
      </c>
      <c r="N28" s="16">
        <f t="shared" si="12"/>
        <v>8</v>
      </c>
      <c r="O28" s="4"/>
      <c r="P28" s="19">
        <v>0.3541666666666667</v>
      </c>
      <c r="Q28" s="20">
        <v>0.7395833333333334</v>
      </c>
      <c r="R28" s="21">
        <f t="shared" si="14"/>
        <v>9.25</v>
      </c>
      <c r="S28" s="13">
        <v>9.25</v>
      </c>
      <c r="T28" s="4"/>
      <c r="U28" s="4"/>
      <c r="V28" s="4"/>
      <c r="W28" s="4"/>
      <c r="X28" s="4"/>
      <c r="Y28" s="4"/>
      <c r="Z28" s="4"/>
    </row>
    <row r="29">
      <c r="A29" s="15">
        <f t="shared" si="13"/>
        <v>46253</v>
      </c>
      <c r="B29" s="16" t="str">
        <f t="shared" si="10"/>
        <v>Wed</v>
      </c>
      <c r="C29" s="17">
        <v>8.25</v>
      </c>
      <c r="D29" s="18"/>
      <c r="E29" s="18"/>
      <c r="F29" s="17"/>
      <c r="G29" s="18" t="str">
        <f>IF(COUNTIF(Holidays!$A$2:$A$12,$A29)&gt;0, 8,"")</f>
        <v/>
      </c>
      <c r="H29" s="18"/>
      <c r="I29" s="18"/>
      <c r="J29" s="18"/>
      <c r="K29" s="18"/>
      <c r="L29" s="18"/>
      <c r="M29" s="16">
        <f t="shared" si="11"/>
        <v>8.25</v>
      </c>
      <c r="N29" s="16">
        <f t="shared" si="12"/>
        <v>8</v>
      </c>
      <c r="O29" s="4"/>
      <c r="P29" s="19">
        <v>0.3333333333333333</v>
      </c>
      <c r="Q29" s="20">
        <v>0.6979166666666666</v>
      </c>
      <c r="R29" s="21">
        <f t="shared" si="14"/>
        <v>8.75</v>
      </c>
      <c r="S29" s="21">
        <f>R29-0.5</f>
        <v>8.25</v>
      </c>
      <c r="T29" s="4"/>
      <c r="U29" s="4"/>
      <c r="V29" s="4"/>
      <c r="W29" s="4"/>
      <c r="X29" s="4"/>
      <c r="Y29" s="4"/>
      <c r="Z29" s="4"/>
    </row>
    <row r="30">
      <c r="A30" s="15">
        <f t="shared" si="13"/>
        <v>46254</v>
      </c>
      <c r="B30" s="16" t="str">
        <f t="shared" si="10"/>
        <v>Thu</v>
      </c>
      <c r="C30" s="17">
        <v>7.75</v>
      </c>
      <c r="D30" s="18"/>
      <c r="E30" s="18"/>
      <c r="F30" s="17"/>
      <c r="G30" s="18" t="str">
        <f>IF(COUNTIF(Holidays!$A$2:$A$12,$A30)&gt;0, 8,"")</f>
        <v/>
      </c>
      <c r="H30" s="18"/>
      <c r="I30" s="18"/>
      <c r="J30" s="18"/>
      <c r="K30" s="18"/>
      <c r="L30" s="18"/>
      <c r="M30" s="16">
        <f t="shared" si="11"/>
        <v>7.75</v>
      </c>
      <c r="N30" s="16">
        <f t="shared" si="12"/>
        <v>8</v>
      </c>
      <c r="O30" s="4"/>
      <c r="P30" s="19">
        <v>0.2916666666666667</v>
      </c>
      <c r="Q30" s="20">
        <v>0.6458333333333334</v>
      </c>
      <c r="R30" s="21">
        <f t="shared" si="14"/>
        <v>8.5</v>
      </c>
      <c r="S30" s="13">
        <v>7.75</v>
      </c>
      <c r="T30" s="4"/>
      <c r="U30" s="4"/>
      <c r="V30" s="4"/>
      <c r="W30" s="4"/>
      <c r="X30" s="4"/>
      <c r="Y30" s="4"/>
      <c r="Z30" s="4"/>
    </row>
    <row r="31">
      <c r="A31" s="15">
        <f t="shared" si="13"/>
        <v>46255</v>
      </c>
      <c r="B31" s="16" t="str">
        <f t="shared" si="10"/>
        <v>Fri</v>
      </c>
      <c r="C31" s="17"/>
      <c r="D31" s="18"/>
      <c r="E31" s="17">
        <v>8.0</v>
      </c>
      <c r="F31" s="17"/>
      <c r="G31" s="18" t="str">
        <f>IF(COUNTIF(Holidays!$A$2:$A$12,$A31)&gt;0, 8,"")</f>
        <v/>
      </c>
      <c r="H31" s="18"/>
      <c r="I31" s="18"/>
      <c r="J31" s="18"/>
      <c r="K31" s="18"/>
      <c r="L31" s="18"/>
      <c r="M31" s="16">
        <f t="shared" si="11"/>
        <v>8</v>
      </c>
      <c r="N31" s="16">
        <f t="shared" si="12"/>
        <v>8</v>
      </c>
      <c r="O31" s="4"/>
      <c r="P31" s="20">
        <v>0.3229166666666667</v>
      </c>
      <c r="Q31" s="20">
        <v>0.6458333333333334</v>
      </c>
      <c r="R31" s="21">
        <f t="shared" si="14"/>
        <v>7.75</v>
      </c>
      <c r="S31" s="13">
        <v>8.0</v>
      </c>
      <c r="T31" s="4"/>
      <c r="U31" s="4"/>
      <c r="V31" s="4"/>
      <c r="W31" s="4"/>
      <c r="X31" s="4"/>
      <c r="Y31" s="4"/>
      <c r="Z31" s="4"/>
    </row>
    <row r="32">
      <c r="A32" s="15">
        <f t="shared" si="13"/>
        <v>46256</v>
      </c>
      <c r="B32" s="16" t="str">
        <f t="shared" si="10"/>
        <v>Sat</v>
      </c>
      <c r="C32" s="17"/>
      <c r="D32" s="18"/>
      <c r="E32" s="18"/>
      <c r="F32" s="18"/>
      <c r="G32" s="18" t="str">
        <f>IF(COUNTIF(Holidays!$A$2:$A$12,$A32)&gt;0, 8,"")</f>
        <v/>
      </c>
      <c r="H32" s="18"/>
      <c r="I32" s="18"/>
      <c r="J32" s="18"/>
      <c r="K32" s="18"/>
      <c r="L32" s="18"/>
      <c r="M32" s="16" t="str">
        <f t="shared" si="11"/>
        <v/>
      </c>
      <c r="N32" s="16" t="str">
        <f t="shared" si="12"/>
        <v/>
      </c>
      <c r="O32" s="4"/>
      <c r="P32" s="19"/>
      <c r="Q32" s="20"/>
      <c r="R32" s="21"/>
      <c r="S32" s="4"/>
      <c r="T32" s="4"/>
      <c r="U32" s="4"/>
      <c r="V32" s="4"/>
      <c r="W32" s="4"/>
      <c r="X32" s="4"/>
      <c r="Y32" s="4"/>
      <c r="Z32" s="4"/>
    </row>
    <row r="33">
      <c r="A33" s="15">
        <f t="shared" si="13"/>
        <v>46257</v>
      </c>
      <c r="B33" s="16" t="str">
        <f t="shared" si="10"/>
        <v>Sun</v>
      </c>
      <c r="C33" s="17"/>
      <c r="D33" s="18"/>
      <c r="E33" s="18"/>
      <c r="F33" s="18"/>
      <c r="G33" s="18" t="str">
        <f>IF(COUNTIF(Holidays!$A$2:$A$12,$A33)&gt;0, 8,"")</f>
        <v/>
      </c>
      <c r="H33" s="18"/>
      <c r="I33" s="18"/>
      <c r="J33" s="18"/>
      <c r="K33" s="18"/>
      <c r="L33" s="18"/>
      <c r="M33" s="16" t="str">
        <f t="shared" si="11"/>
        <v/>
      </c>
      <c r="N33" s="16" t="str">
        <f t="shared" si="12"/>
        <v/>
      </c>
      <c r="O33" s="4"/>
      <c r="P33" s="19"/>
      <c r="Q33" s="20"/>
      <c r="R33" s="21"/>
      <c r="S33" s="4"/>
      <c r="T33" s="4"/>
      <c r="U33" s="4"/>
      <c r="V33" s="4"/>
      <c r="W33" s="4"/>
      <c r="X33" s="4"/>
      <c r="Y33" s="4"/>
      <c r="Z33" s="4"/>
    </row>
    <row r="34">
      <c r="A34" s="15">
        <f t="shared" si="13"/>
        <v>46258</v>
      </c>
      <c r="B34" s="16" t="str">
        <f t="shared" si="10"/>
        <v>Mon</v>
      </c>
      <c r="C34" s="17"/>
      <c r="D34" s="18"/>
      <c r="E34" s="17">
        <v>8.0</v>
      </c>
      <c r="F34" s="17"/>
      <c r="G34" s="18" t="str">
        <f>IF(COUNTIF(Holidays!$A$2:$A$12,$A34)&gt;0, 8,"")</f>
        <v/>
      </c>
      <c r="H34" s="18"/>
      <c r="I34" s="18"/>
      <c r="J34" s="18"/>
      <c r="K34" s="18"/>
      <c r="L34" s="18"/>
      <c r="M34" s="16">
        <f t="shared" si="11"/>
        <v>8</v>
      </c>
      <c r="N34" s="16">
        <f t="shared" si="12"/>
        <v>8</v>
      </c>
      <c r="O34" s="4"/>
      <c r="P34" s="19">
        <v>0.3333333333333333</v>
      </c>
      <c r="Q34" s="20">
        <v>0.6666666666666666</v>
      </c>
      <c r="R34" s="21">
        <f t="shared" ref="R34:R38" si="15">(Q34-P34)*24</f>
        <v>8</v>
      </c>
      <c r="S34" s="13">
        <v>8.0</v>
      </c>
      <c r="T34" s="4"/>
      <c r="U34" s="4"/>
      <c r="V34" s="4"/>
      <c r="W34" s="4"/>
      <c r="X34" s="4"/>
      <c r="Y34" s="4"/>
      <c r="Z34" s="4"/>
    </row>
    <row r="35">
      <c r="A35" s="15">
        <f t="shared" si="13"/>
        <v>46259</v>
      </c>
      <c r="B35" s="16" t="str">
        <f t="shared" si="10"/>
        <v>Tue</v>
      </c>
      <c r="C35" s="17"/>
      <c r="D35" s="18"/>
      <c r="E35" s="17"/>
      <c r="F35" s="17">
        <v>5.0</v>
      </c>
      <c r="G35" s="18" t="str">
        <f>IF(COUNTIF(Holidays!$A$2:$A$12,$A35)&gt;0, 8,"")</f>
        <v/>
      </c>
      <c r="H35" s="18"/>
      <c r="I35" s="18"/>
      <c r="J35" s="18"/>
      <c r="K35" s="18"/>
      <c r="L35" s="18"/>
      <c r="M35" s="16">
        <f t="shared" si="11"/>
        <v>5</v>
      </c>
      <c r="N35" s="16">
        <f t="shared" si="12"/>
        <v>8</v>
      </c>
      <c r="O35" s="4"/>
      <c r="P35" s="19">
        <v>0.3333333333333333</v>
      </c>
      <c r="Q35" s="20">
        <v>0.6666666666666666</v>
      </c>
      <c r="R35" s="21">
        <f t="shared" si="15"/>
        <v>8</v>
      </c>
      <c r="S35" s="13">
        <v>4.0</v>
      </c>
      <c r="T35" s="4"/>
      <c r="U35" s="4"/>
      <c r="V35" s="4"/>
      <c r="W35" s="4"/>
      <c r="X35" s="4"/>
      <c r="Y35" s="4"/>
      <c r="Z35" s="4"/>
    </row>
    <row r="36">
      <c r="A36" s="15">
        <f t="shared" si="13"/>
        <v>46260</v>
      </c>
      <c r="B36" s="16" t="str">
        <f t="shared" si="10"/>
        <v>Wed</v>
      </c>
      <c r="C36" s="17"/>
      <c r="D36" s="18"/>
      <c r="E36" s="18"/>
      <c r="F36" s="17">
        <v>8.0</v>
      </c>
      <c r="G36" s="18" t="str">
        <f>IF(COUNTIF(Holidays!$A$2:$A$12,$A36)&gt;0, 8,"")</f>
        <v/>
      </c>
      <c r="H36" s="18"/>
      <c r="I36" s="18"/>
      <c r="J36" s="18"/>
      <c r="K36" s="18"/>
      <c r="L36" s="18"/>
      <c r="M36" s="16">
        <f t="shared" si="11"/>
        <v>8</v>
      </c>
      <c r="N36" s="16">
        <f t="shared" si="12"/>
        <v>8</v>
      </c>
      <c r="O36" s="4"/>
      <c r="P36" s="19">
        <v>0.3333333333333333</v>
      </c>
      <c r="Q36" s="20">
        <v>0.6666666666666666</v>
      </c>
      <c r="R36" s="21">
        <f t="shared" si="15"/>
        <v>8</v>
      </c>
      <c r="S36" s="13">
        <v>8.0</v>
      </c>
      <c r="T36" s="4"/>
      <c r="U36" s="4"/>
      <c r="V36" s="4"/>
      <c r="W36" s="4"/>
      <c r="X36" s="4"/>
      <c r="Y36" s="4"/>
      <c r="Z36" s="4"/>
    </row>
    <row r="37">
      <c r="A37" s="15">
        <f t="shared" si="13"/>
        <v>46261</v>
      </c>
      <c r="B37" s="16" t="str">
        <f t="shared" si="10"/>
        <v>Thu</v>
      </c>
      <c r="C37" s="17"/>
      <c r="D37" s="18"/>
      <c r="E37" s="18"/>
      <c r="F37" s="17">
        <v>8.0</v>
      </c>
      <c r="G37" s="18" t="str">
        <f>IF(COUNTIF(Holidays!$A$2:$A$12,$A37)&gt;0, 8,"")</f>
        <v/>
      </c>
      <c r="H37" s="18"/>
      <c r="I37" s="18"/>
      <c r="J37" s="18"/>
      <c r="K37" s="18"/>
      <c r="L37" s="18"/>
      <c r="M37" s="16">
        <f t="shared" si="11"/>
        <v>8</v>
      </c>
      <c r="N37" s="16">
        <f t="shared" si="12"/>
        <v>8</v>
      </c>
      <c r="O37" s="4"/>
      <c r="P37" s="19">
        <v>0.3333333333333333</v>
      </c>
      <c r="Q37" s="20">
        <v>0.6666666666666666</v>
      </c>
      <c r="R37" s="21">
        <f t="shared" si="15"/>
        <v>8</v>
      </c>
      <c r="S37" s="13">
        <v>8.0</v>
      </c>
      <c r="T37" s="4"/>
      <c r="U37" s="4"/>
      <c r="V37" s="4"/>
      <c r="W37" s="4"/>
      <c r="X37" s="4"/>
      <c r="Y37" s="4"/>
      <c r="Z37" s="4"/>
    </row>
    <row r="38">
      <c r="A38" s="15">
        <f t="shared" si="13"/>
        <v>46262</v>
      </c>
      <c r="B38" s="16" t="str">
        <f t="shared" si="10"/>
        <v>Fri</v>
      </c>
      <c r="C38" s="17">
        <v>8.25</v>
      </c>
      <c r="D38" s="18"/>
      <c r="E38" s="18"/>
      <c r="F38" s="17"/>
      <c r="G38" s="18" t="str">
        <f>IF(COUNTIF(Holidays!$A$2:$A$12,$A38)&gt;0, 8,"")</f>
        <v/>
      </c>
      <c r="H38" s="18"/>
      <c r="I38" s="18"/>
      <c r="J38" s="18"/>
      <c r="K38" s="18"/>
      <c r="L38" s="18"/>
      <c r="M38" s="16">
        <f t="shared" si="11"/>
        <v>8.25</v>
      </c>
      <c r="N38" s="16">
        <f t="shared" si="12"/>
        <v>8</v>
      </c>
      <c r="O38" s="4"/>
      <c r="P38" s="19">
        <v>0.3472222222222222</v>
      </c>
      <c r="Q38" s="20">
        <v>0.6805555555555556</v>
      </c>
      <c r="R38" s="21">
        <f t="shared" si="15"/>
        <v>8</v>
      </c>
      <c r="S38" s="13">
        <v>8.25</v>
      </c>
      <c r="T38" s="4"/>
      <c r="U38" s="4"/>
      <c r="V38" s="4"/>
      <c r="W38" s="4"/>
      <c r="X38" s="4"/>
      <c r="Y38" s="4"/>
      <c r="Z38" s="4"/>
    </row>
    <row r="39">
      <c r="A39" s="15">
        <f t="shared" si="13"/>
        <v>46263</v>
      </c>
      <c r="B39" s="16" t="str">
        <f t="shared" si="10"/>
        <v>Sat</v>
      </c>
      <c r="C39" s="17"/>
      <c r="D39" s="18"/>
      <c r="E39" s="18"/>
      <c r="F39" s="18"/>
      <c r="G39" s="18" t="str">
        <f>IF(COUNTIF(Holidays!$A$2:$A$12,$A39)&gt;0, 8,"")</f>
        <v/>
      </c>
      <c r="H39" s="18"/>
      <c r="I39" s="18"/>
      <c r="J39" s="18"/>
      <c r="K39" s="18"/>
      <c r="L39" s="18"/>
      <c r="M39" s="16" t="str">
        <f t="shared" si="11"/>
        <v/>
      </c>
      <c r="N39" s="16" t="str">
        <f t="shared" si="12"/>
        <v/>
      </c>
      <c r="O39" s="4"/>
      <c r="P39" s="19"/>
      <c r="Q39" s="20"/>
      <c r="R39" s="21"/>
      <c r="S39" s="4"/>
      <c r="T39" s="4"/>
      <c r="U39" s="4"/>
      <c r="V39" s="4"/>
      <c r="W39" s="4"/>
      <c r="X39" s="4"/>
      <c r="Y39" s="4"/>
      <c r="Z39" s="4"/>
    </row>
    <row r="40">
      <c r="A40" s="15">
        <f t="shared" si="13"/>
        <v>46264</v>
      </c>
      <c r="B40" s="16" t="str">
        <f t="shared" si="10"/>
        <v>Sun</v>
      </c>
      <c r="C40" s="17"/>
      <c r="D40" s="18"/>
      <c r="E40" s="18"/>
      <c r="F40" s="18"/>
      <c r="G40" s="18" t="str">
        <f>IF(COUNTIF(Holidays!$A$2:$A$12,$A40)&gt;0, 8,"")</f>
        <v/>
      </c>
      <c r="H40" s="18"/>
      <c r="I40" s="18"/>
      <c r="J40" s="18"/>
      <c r="K40" s="18"/>
      <c r="L40" s="18"/>
      <c r="M40" s="16" t="str">
        <f t="shared" si="11"/>
        <v/>
      </c>
      <c r="N40" s="16" t="str">
        <f t="shared" si="12"/>
        <v/>
      </c>
      <c r="O40" s="4"/>
      <c r="P40" s="4"/>
      <c r="Q40" s="4"/>
      <c r="R40" s="24"/>
      <c r="S40" s="4"/>
      <c r="T40" s="4"/>
      <c r="U40" s="4"/>
      <c r="V40" s="4"/>
      <c r="W40" s="4"/>
      <c r="X40" s="4"/>
      <c r="Y40" s="4"/>
      <c r="Z40" s="4"/>
    </row>
    <row r="41">
      <c r="A41" s="15">
        <f t="shared" si="13"/>
        <v>46265</v>
      </c>
      <c r="B41" s="16" t="str">
        <f t="shared" si="10"/>
        <v>Mon</v>
      </c>
      <c r="C41" s="17">
        <v>8.0</v>
      </c>
      <c r="D41" s="18"/>
      <c r="E41" s="18"/>
      <c r="F41" s="17"/>
      <c r="G41" s="18" t="str">
        <f>IF(COUNTIF(Holidays!$A$2:$A$12,$A41)&gt;0, 8,"")</f>
        <v/>
      </c>
      <c r="H41" s="18"/>
      <c r="I41" s="18"/>
      <c r="J41" s="18"/>
      <c r="K41" s="18"/>
      <c r="L41" s="18"/>
      <c r="M41" s="16">
        <f t="shared" si="11"/>
        <v>8</v>
      </c>
      <c r="N41" s="16">
        <f t="shared" si="12"/>
        <v>8</v>
      </c>
      <c r="O41" s="4"/>
      <c r="P41" s="19">
        <v>0.3541666666666667</v>
      </c>
      <c r="Q41" s="20">
        <v>0.6875</v>
      </c>
      <c r="R41" s="21">
        <f>(Q41-P41)*24</f>
        <v>8</v>
      </c>
      <c r="S41" s="13">
        <v>8.0</v>
      </c>
      <c r="T41" s="4"/>
      <c r="U41" s="4"/>
      <c r="V41" s="4"/>
      <c r="W41" s="4"/>
      <c r="X41" s="4"/>
      <c r="Y41" s="4"/>
      <c r="Z41" s="4"/>
    </row>
    <row r="42">
      <c r="A42" s="2" t="s">
        <v>47</v>
      </c>
      <c r="C42" s="14">
        <f t="shared" ref="C42:N42" si="16">sum(C26:C41)</f>
        <v>51</v>
      </c>
      <c r="D42" s="14">
        <f t="shared" si="16"/>
        <v>0</v>
      </c>
      <c r="E42" s="14">
        <f t="shared" si="16"/>
        <v>16</v>
      </c>
      <c r="F42" s="14">
        <f t="shared" si="16"/>
        <v>21</v>
      </c>
      <c r="G42" s="14">
        <f t="shared" si="16"/>
        <v>0</v>
      </c>
      <c r="H42" s="14">
        <f t="shared" si="16"/>
        <v>0</v>
      </c>
      <c r="I42" s="14">
        <f t="shared" si="16"/>
        <v>0</v>
      </c>
      <c r="J42" s="14">
        <f t="shared" si="16"/>
        <v>0</v>
      </c>
      <c r="K42" s="14">
        <f t="shared" si="16"/>
        <v>0</v>
      </c>
      <c r="L42" s="14">
        <f t="shared" si="16"/>
        <v>0</v>
      </c>
      <c r="M42" s="14">
        <f t="shared" si="16"/>
        <v>88</v>
      </c>
      <c r="N42" s="14">
        <f t="shared" si="16"/>
        <v>88</v>
      </c>
      <c r="O42" s="4"/>
      <c r="P42" s="4"/>
      <c r="Q42" s="4"/>
      <c r="R42" s="24">
        <f>sum(R25:R41)</f>
        <v>91.75</v>
      </c>
      <c r="S42" s="4">
        <f>sum(S27:S41)</f>
        <v>87</v>
      </c>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4">
    <mergeCell ref="M2:N2"/>
    <mergeCell ref="P2:Q2"/>
    <mergeCell ref="A22:B22"/>
    <mergeCell ref="A42:B42"/>
  </mergeCells>
  <conditionalFormatting sqref="C7:L21 C26:L41">
    <cfRule type="expression" dxfId="0" priority="1">
      <formula>OR($B7="Sat", $B7="Sun")</formula>
    </cfRule>
  </conditionalFormatting>
  <conditionalFormatting sqref="C7:L21 C26:L41">
    <cfRule type="notContainsBlanks" dxfId="1" priority="2">
      <formula>LEN(TRIM(C7))&gt;0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s>
  <sheetData>
    <row r="1">
      <c r="A1" s="2" t="s">
        <v>63</v>
      </c>
      <c r="B1" s="2" t="s">
        <v>4</v>
      </c>
      <c r="C1" s="2" t="s">
        <v>6</v>
      </c>
      <c r="D1" s="2" t="s">
        <v>7</v>
      </c>
      <c r="E1" s="2" t="s">
        <v>9</v>
      </c>
      <c r="F1" s="4"/>
      <c r="I1" s="4"/>
      <c r="J1" s="4"/>
      <c r="K1" s="4"/>
      <c r="L1" s="4"/>
      <c r="M1" s="4"/>
      <c r="N1" s="4"/>
      <c r="O1" s="4"/>
      <c r="P1" s="4"/>
      <c r="Q1" s="4"/>
      <c r="R1" s="4"/>
      <c r="S1" s="4"/>
      <c r="T1" s="4"/>
      <c r="U1" s="4"/>
      <c r="V1" s="4"/>
      <c r="W1" s="4"/>
      <c r="X1" s="4"/>
      <c r="Y1" s="4"/>
      <c r="Z1" s="4"/>
    </row>
    <row r="2">
      <c r="A2" s="8" t="s">
        <v>13</v>
      </c>
      <c r="B2" s="12">
        <f t="array" ref="B2">INDIRECT(TEXT(EDATE(DATE(2026, MATCH($A$1, {"January","February","March","April","May","June","July","August","September","October","November","December"}, 0), 1), -1), "mmm") &amp; " 26!B4")</f>
        <v>72.5</v>
      </c>
      <c r="C2" s="12">
        <f t="array" ref="C2">INDIRECT(TEXT(EDATE(DATE(2026, MATCH($A$1, {"January","February","March","April","May","June","July","August","September","October","November","December"}, 0), 1), -1), "mmm") &amp; " 26!C4")</f>
        <v>1.25</v>
      </c>
      <c r="D2" s="12">
        <f t="array" ref="D2">INDIRECT(TEXT(EDATE(DATE(2026, MATCH($A$1, {"January","February","March","April","May","June","July","August","September","October","November","December"}, 0), 1), -1), "mmm") &amp; " 26!D4")</f>
        <v>8</v>
      </c>
      <c r="E2" s="12">
        <f t="array" ref="E2">INDIRECT(TEXT(EDATE(DATE(2026, MATCH($A$1, {"January","February","March","April","May","June","July","August","September","October","November","December"}, 0), 1), -1), "mmm") &amp; " 26!E4")</f>
        <v>40</v>
      </c>
      <c r="F2" s="4"/>
      <c r="G2" s="2" t="s">
        <v>8</v>
      </c>
      <c r="H2" s="12">
        <f>'START HERE'!B6</f>
        <v>5</v>
      </c>
      <c r="I2" s="4"/>
      <c r="J2" s="4"/>
      <c r="K2" s="4"/>
      <c r="L2" s="4"/>
      <c r="M2" s="13"/>
      <c r="O2" s="4"/>
      <c r="P2" s="13"/>
      <c r="R2" s="4"/>
      <c r="S2" s="4"/>
      <c r="T2" s="4"/>
      <c r="U2" s="4"/>
      <c r="V2" s="4"/>
      <c r="W2" s="4"/>
      <c r="X2" s="4"/>
      <c r="Y2" s="4"/>
      <c r="Z2" s="4"/>
    </row>
    <row r="3">
      <c r="A3" s="8" t="s">
        <v>23</v>
      </c>
      <c r="B3" s="12">
        <f>B2+H2-F22</f>
        <v>77.5</v>
      </c>
      <c r="C3" s="12">
        <f>C2+D22-E22</f>
        <v>7</v>
      </c>
      <c r="D3" s="12">
        <f t="shared" ref="D3:E3" si="1">D2-I22</f>
        <v>8</v>
      </c>
      <c r="E3" s="12">
        <f t="shared" si="1"/>
        <v>40</v>
      </c>
      <c r="F3" s="4"/>
      <c r="G3" s="4"/>
      <c r="H3" s="4"/>
      <c r="I3" s="4"/>
      <c r="J3" s="4"/>
      <c r="K3" s="4"/>
      <c r="L3" s="4"/>
      <c r="M3" s="4"/>
      <c r="N3" s="4"/>
      <c r="O3" s="4"/>
      <c r="P3" s="4"/>
      <c r="Q3" s="4"/>
      <c r="R3" s="4"/>
      <c r="S3" s="4"/>
      <c r="T3" s="4"/>
      <c r="U3" s="4"/>
      <c r="V3" s="4"/>
      <c r="W3" s="4"/>
      <c r="X3" s="4"/>
      <c r="Y3" s="4"/>
      <c r="Z3" s="4"/>
    </row>
    <row r="4">
      <c r="A4" s="8" t="s">
        <v>25</v>
      </c>
      <c r="B4" s="12">
        <f>B3+H2-F42</f>
        <v>82.5</v>
      </c>
      <c r="C4" s="12">
        <f>C3+D42-E42</f>
        <v>13.5</v>
      </c>
      <c r="D4" s="12">
        <f t="shared" ref="D4:E4" si="2">D3-I42</f>
        <v>8</v>
      </c>
      <c r="E4" s="12">
        <f t="shared" si="2"/>
        <v>40</v>
      </c>
      <c r="F4" s="4"/>
      <c r="G4" s="4"/>
      <c r="H4" s="4"/>
      <c r="I4" s="4"/>
      <c r="J4" s="4"/>
      <c r="K4" s="4"/>
      <c r="L4" s="4"/>
      <c r="M4" s="4"/>
      <c r="N4" s="4"/>
      <c r="O4" s="4"/>
      <c r="P4" s="4"/>
      <c r="Q4" s="4"/>
      <c r="R4" s="4"/>
      <c r="S4" s="4"/>
      <c r="T4" s="4"/>
      <c r="U4" s="4"/>
      <c r="V4" s="4"/>
      <c r="W4" s="4"/>
      <c r="X4" s="4"/>
      <c r="Y4" s="4"/>
      <c r="Z4" s="4"/>
    </row>
    <row r="5">
      <c r="A5" s="4"/>
      <c r="B5" s="4"/>
      <c r="C5" s="4"/>
      <c r="D5" s="4"/>
      <c r="E5" s="4"/>
      <c r="F5" s="4"/>
      <c r="G5" s="4"/>
      <c r="H5" s="4"/>
      <c r="I5" s="4"/>
      <c r="J5" s="4"/>
      <c r="K5" s="4"/>
      <c r="L5" s="4"/>
      <c r="M5" s="4"/>
      <c r="N5" s="4"/>
      <c r="O5" s="4"/>
      <c r="P5" s="13" t="s">
        <v>26</v>
      </c>
      <c r="Q5" s="13" t="s">
        <v>27</v>
      </c>
      <c r="R5" s="13" t="s">
        <v>28</v>
      </c>
      <c r="S5" s="4"/>
      <c r="T5" s="4"/>
      <c r="U5" s="4"/>
      <c r="V5" s="4"/>
      <c r="W5" s="4"/>
      <c r="X5" s="4"/>
      <c r="Y5" s="4"/>
      <c r="Z5" s="4"/>
    </row>
    <row r="6">
      <c r="A6" s="2" t="s">
        <v>29</v>
      </c>
      <c r="B6" s="2" t="s">
        <v>30</v>
      </c>
      <c r="C6" s="14" t="str">
        <f t="array" ref="C6:L6">TRANSPOSE('Time Types'!A2:A11)</f>
        <v>Regular</v>
      </c>
      <c r="D6" s="14" t="s">
        <v>31</v>
      </c>
      <c r="E6" s="14" t="s">
        <v>32</v>
      </c>
      <c r="F6" s="14" t="s">
        <v>12</v>
      </c>
      <c r="G6" s="14" t="s">
        <v>33</v>
      </c>
      <c r="H6" s="14" t="s">
        <v>34</v>
      </c>
      <c r="I6" s="14" t="s">
        <v>14</v>
      </c>
      <c r="J6" s="14" t="s">
        <v>16</v>
      </c>
      <c r="K6" s="14" t="s">
        <v>35</v>
      </c>
      <c r="L6" s="14" t="s">
        <v>36</v>
      </c>
      <c r="M6" s="2" t="s">
        <v>37</v>
      </c>
      <c r="N6" s="26" t="s">
        <v>38</v>
      </c>
      <c r="O6" s="4"/>
      <c r="P6" s="20"/>
      <c r="Q6" s="20"/>
      <c r="R6" s="21"/>
      <c r="S6" s="4"/>
      <c r="T6" s="4"/>
      <c r="U6" s="4"/>
      <c r="V6" s="4"/>
      <c r="W6" s="4"/>
      <c r="X6" s="4"/>
      <c r="Y6" s="4"/>
      <c r="Z6" s="4"/>
    </row>
    <row r="7">
      <c r="A7" s="15">
        <f>DATE(2026, MONTH(DATEVALUE($A$1 &amp; " 1")), 1)</f>
        <v>46266</v>
      </c>
      <c r="B7" s="16" t="str">
        <f t="shared" ref="B7:B21" si="3">text(A7,"ddd")</f>
        <v>Tue</v>
      </c>
      <c r="C7" s="17">
        <v>8.0</v>
      </c>
      <c r="D7" s="17">
        <v>1.5</v>
      </c>
      <c r="E7" s="18"/>
      <c r="F7" s="17"/>
      <c r="G7" s="18" t="str">
        <f>IF(COUNTIF(Holidays!$A$2:$A$12,$A7)&gt;0, 8,"")</f>
        <v/>
      </c>
      <c r="H7" s="18"/>
      <c r="I7" s="18"/>
      <c r="J7" s="18"/>
      <c r="K7" s="18"/>
      <c r="L7" s="18"/>
      <c r="M7" s="16">
        <f t="shared" ref="M7:M16" si="4">IF(OR(B7="Sat", B7="Sun"), "", sum(C7:J7))</f>
        <v>9.5</v>
      </c>
      <c r="N7" s="27">
        <f t="shared" ref="N7:N21" si="5">IF(OR(B7="Sat", B7="Sun"), "", 8)</f>
        <v>8</v>
      </c>
      <c r="O7" s="4"/>
      <c r="P7" s="20">
        <v>0.34375</v>
      </c>
      <c r="Q7" s="20">
        <v>0.7395833333333334</v>
      </c>
      <c r="R7" s="21">
        <f t="shared" ref="R7:R10" si="6">(Q7-P7)*24</f>
        <v>9.5</v>
      </c>
      <c r="S7" s="4"/>
      <c r="T7" s="4"/>
      <c r="U7" s="4"/>
      <c r="V7" s="4"/>
      <c r="W7" s="4"/>
      <c r="X7" s="4"/>
      <c r="Y7" s="4"/>
      <c r="Z7" s="4"/>
    </row>
    <row r="8">
      <c r="A8" s="15">
        <f t="shared" ref="A8:A21" si="7">A7+1</f>
        <v>46267</v>
      </c>
      <c r="B8" s="16" t="str">
        <f t="shared" si="3"/>
        <v>Wed</v>
      </c>
      <c r="C8" s="17">
        <v>8.0</v>
      </c>
      <c r="D8" s="17">
        <v>1.5</v>
      </c>
      <c r="E8" s="18"/>
      <c r="F8" s="17"/>
      <c r="G8" s="18" t="str">
        <f>IF(COUNTIF(Holidays!$A$2:$A$12,$A8)&gt;0, 8,"")</f>
        <v/>
      </c>
      <c r="H8" s="18"/>
      <c r="I8" s="18"/>
      <c r="J8" s="18"/>
      <c r="K8" s="18"/>
      <c r="L8" s="18"/>
      <c r="M8" s="16">
        <f t="shared" si="4"/>
        <v>9.5</v>
      </c>
      <c r="N8" s="27">
        <f t="shared" si="5"/>
        <v>8</v>
      </c>
      <c r="O8" s="4"/>
      <c r="P8" s="19">
        <v>0.3020833333333333</v>
      </c>
      <c r="Q8" s="20">
        <v>0.6979166666666666</v>
      </c>
      <c r="R8" s="21">
        <f t="shared" si="6"/>
        <v>9.5</v>
      </c>
      <c r="S8" s="4"/>
      <c r="T8" s="4"/>
      <c r="U8" s="4"/>
      <c r="V8" s="4"/>
      <c r="W8" s="4"/>
      <c r="X8" s="4"/>
      <c r="Y8" s="4"/>
      <c r="Z8" s="4"/>
    </row>
    <row r="9">
      <c r="A9" s="15">
        <f t="shared" si="7"/>
        <v>46268</v>
      </c>
      <c r="B9" s="16" t="str">
        <f t="shared" si="3"/>
        <v>Thu</v>
      </c>
      <c r="C9" s="17">
        <v>8.0</v>
      </c>
      <c r="D9" s="17">
        <v>1.25</v>
      </c>
      <c r="E9" s="18"/>
      <c r="F9" s="17"/>
      <c r="G9" s="18" t="str">
        <f>IF(COUNTIF(Holidays!$A$2:$A$12,$A9)&gt;0, 8,"")</f>
        <v/>
      </c>
      <c r="H9" s="18"/>
      <c r="I9" s="18"/>
      <c r="J9" s="18"/>
      <c r="K9" s="18"/>
      <c r="L9" s="18"/>
      <c r="M9" s="16">
        <f t="shared" si="4"/>
        <v>9.25</v>
      </c>
      <c r="N9" s="27">
        <f t="shared" si="5"/>
        <v>8</v>
      </c>
      <c r="O9" s="4"/>
      <c r="P9" s="19">
        <v>0.3541666666666667</v>
      </c>
      <c r="Q9" s="20">
        <v>0.7395833333333334</v>
      </c>
      <c r="R9" s="21">
        <f t="shared" si="6"/>
        <v>9.25</v>
      </c>
      <c r="S9" s="4"/>
      <c r="T9" s="4"/>
      <c r="U9" s="4"/>
      <c r="V9" s="4"/>
      <c r="W9" s="4"/>
      <c r="X9" s="4"/>
      <c r="Y9" s="4"/>
      <c r="Z9" s="4"/>
    </row>
    <row r="10">
      <c r="A10" s="15">
        <f t="shared" si="7"/>
        <v>46269</v>
      </c>
      <c r="B10" s="16" t="str">
        <f t="shared" si="3"/>
        <v>Fri</v>
      </c>
      <c r="C10" s="17">
        <v>8.0</v>
      </c>
      <c r="D10" s="17">
        <v>0.5</v>
      </c>
      <c r="E10" s="18"/>
      <c r="F10" s="17"/>
      <c r="G10" s="18" t="str">
        <f>IF(COUNTIF(Holidays!$A$2:$A$12,$A10)&gt;0, 8,"")</f>
        <v/>
      </c>
      <c r="H10" s="18"/>
      <c r="I10" s="18"/>
      <c r="J10" s="18"/>
      <c r="K10" s="18"/>
      <c r="L10" s="18"/>
      <c r="M10" s="16">
        <f t="shared" si="4"/>
        <v>8.5</v>
      </c>
      <c r="N10" s="27">
        <f t="shared" si="5"/>
        <v>8</v>
      </c>
      <c r="O10" s="4"/>
      <c r="P10" s="19">
        <v>0.34375</v>
      </c>
      <c r="Q10" s="20">
        <v>0.6979166666666666</v>
      </c>
      <c r="R10" s="21">
        <f t="shared" si="6"/>
        <v>8.5</v>
      </c>
      <c r="S10" s="4"/>
      <c r="T10" s="4"/>
      <c r="U10" s="4"/>
      <c r="V10" s="4"/>
      <c r="W10" s="4"/>
      <c r="X10" s="4"/>
      <c r="Y10" s="4"/>
      <c r="Z10" s="4"/>
    </row>
    <row r="11">
      <c r="A11" s="15">
        <f t="shared" si="7"/>
        <v>46270</v>
      </c>
      <c r="B11" s="16" t="str">
        <f t="shared" si="3"/>
        <v>Sat</v>
      </c>
      <c r="C11" s="17"/>
      <c r="D11" s="17"/>
      <c r="E11" s="18"/>
      <c r="F11" s="18"/>
      <c r="G11" s="18" t="str">
        <f>IF(COUNTIF(Holidays!$A$2:$A$12,$A11)&gt;0, 8,"")</f>
        <v/>
      </c>
      <c r="H11" s="18"/>
      <c r="I11" s="18"/>
      <c r="J11" s="18"/>
      <c r="K11" s="18"/>
      <c r="L11" s="18"/>
      <c r="M11" s="16" t="str">
        <f t="shared" si="4"/>
        <v/>
      </c>
      <c r="N11" s="27" t="str">
        <f t="shared" si="5"/>
        <v/>
      </c>
      <c r="O11" s="4"/>
      <c r="P11" s="19"/>
      <c r="Q11" s="20"/>
      <c r="R11" s="21"/>
      <c r="S11" s="4"/>
      <c r="T11" s="4"/>
      <c r="U11" s="4"/>
      <c r="V11" s="4"/>
      <c r="W11" s="4"/>
      <c r="X11" s="4"/>
      <c r="Y11" s="4"/>
      <c r="Z11" s="4"/>
    </row>
    <row r="12">
      <c r="A12" s="15">
        <f t="shared" si="7"/>
        <v>46271</v>
      </c>
      <c r="B12" s="16" t="str">
        <f t="shared" si="3"/>
        <v>Sun</v>
      </c>
      <c r="C12" s="17"/>
      <c r="D12" s="18"/>
      <c r="E12" s="18"/>
      <c r="F12" s="18"/>
      <c r="G12" s="18" t="str">
        <f>IF(COUNTIF(Holidays!$A$2:$A$12,$A12)&gt;0, 8,"")</f>
        <v/>
      </c>
      <c r="H12" s="18"/>
      <c r="I12" s="18"/>
      <c r="J12" s="18"/>
      <c r="K12" s="18"/>
      <c r="L12" s="18"/>
      <c r="M12" s="16" t="str">
        <f t="shared" si="4"/>
        <v/>
      </c>
      <c r="N12" s="27" t="str">
        <f t="shared" si="5"/>
        <v/>
      </c>
      <c r="O12" s="4"/>
      <c r="P12" s="19"/>
      <c r="Q12" s="20"/>
      <c r="R12" s="21"/>
      <c r="S12" s="4"/>
      <c r="T12" s="4"/>
      <c r="U12" s="4"/>
      <c r="V12" s="4"/>
      <c r="W12" s="4"/>
      <c r="X12" s="4"/>
      <c r="Y12" s="4"/>
      <c r="Z12" s="4"/>
    </row>
    <row r="13">
      <c r="A13" s="15">
        <f t="shared" si="7"/>
        <v>46272</v>
      </c>
      <c r="B13" s="16" t="str">
        <f t="shared" si="3"/>
        <v>Mon</v>
      </c>
      <c r="C13" s="17"/>
      <c r="D13" s="18"/>
      <c r="E13" s="18"/>
      <c r="F13" s="18"/>
      <c r="G13" s="18">
        <f>IF(COUNTIF(Holidays!$A$2:$A$12,$A13)&gt;0, 8,"")</f>
        <v>8</v>
      </c>
      <c r="H13" s="18"/>
      <c r="I13" s="18"/>
      <c r="J13" s="18"/>
      <c r="K13" s="18"/>
      <c r="L13" s="18"/>
      <c r="M13" s="16">
        <f t="shared" si="4"/>
        <v>8</v>
      </c>
      <c r="N13" s="27">
        <f t="shared" si="5"/>
        <v>8</v>
      </c>
      <c r="O13" s="4"/>
      <c r="P13" s="19">
        <v>0.3333333333333333</v>
      </c>
      <c r="Q13" s="20">
        <v>0.6666666666666666</v>
      </c>
      <c r="R13" s="21">
        <f t="shared" ref="R13:R17" si="8">(Q13-P13)*24</f>
        <v>8</v>
      </c>
      <c r="S13" s="4"/>
      <c r="T13" s="4"/>
      <c r="U13" s="4"/>
      <c r="V13" s="4"/>
      <c r="W13" s="4"/>
      <c r="X13" s="4"/>
      <c r="Y13" s="4"/>
      <c r="Z13" s="4"/>
    </row>
    <row r="14">
      <c r="A14" s="15">
        <f t="shared" si="7"/>
        <v>46273</v>
      </c>
      <c r="B14" s="16" t="str">
        <f t="shared" si="3"/>
        <v>Tue</v>
      </c>
      <c r="C14" s="17">
        <v>8.0</v>
      </c>
      <c r="D14" s="17">
        <v>1.0</v>
      </c>
      <c r="E14" s="18"/>
      <c r="F14" s="18"/>
      <c r="G14" s="18" t="str">
        <f>IF(COUNTIF(Holidays!$A$2:$A$12,$A14)&gt;0, 8,"")</f>
        <v/>
      </c>
      <c r="H14" s="18"/>
      <c r="I14" s="18"/>
      <c r="J14" s="18"/>
      <c r="K14" s="18"/>
      <c r="L14" s="18"/>
      <c r="M14" s="16">
        <f t="shared" si="4"/>
        <v>9</v>
      </c>
      <c r="N14" s="27">
        <f t="shared" si="5"/>
        <v>8</v>
      </c>
      <c r="O14" s="4"/>
      <c r="P14" s="19">
        <v>0.3645833333333333</v>
      </c>
      <c r="Q14" s="20">
        <v>0.7395833333333334</v>
      </c>
      <c r="R14" s="21">
        <f t="shared" si="8"/>
        <v>9</v>
      </c>
      <c r="S14" s="4"/>
      <c r="T14" s="4"/>
      <c r="U14" s="4"/>
      <c r="V14" s="4"/>
      <c r="W14" s="4"/>
      <c r="X14" s="4"/>
      <c r="Y14" s="4"/>
      <c r="Z14" s="4"/>
    </row>
    <row r="15">
      <c r="A15" s="15">
        <f t="shared" si="7"/>
        <v>46274</v>
      </c>
      <c r="B15" s="16" t="str">
        <f t="shared" si="3"/>
        <v>Wed</v>
      </c>
      <c r="C15" s="17">
        <v>8.5</v>
      </c>
      <c r="D15" s="17"/>
      <c r="E15" s="18"/>
      <c r="F15" s="18"/>
      <c r="G15" s="18" t="str">
        <f>IF(COUNTIF(Holidays!$A$2:$A$12,$A15)&gt;0, 8,"")</f>
        <v/>
      </c>
      <c r="H15" s="18"/>
      <c r="I15" s="18"/>
      <c r="J15" s="18"/>
      <c r="K15" s="18"/>
      <c r="L15" s="18"/>
      <c r="M15" s="16">
        <f t="shared" si="4"/>
        <v>8.5</v>
      </c>
      <c r="N15" s="27">
        <f t="shared" si="5"/>
        <v>8</v>
      </c>
      <c r="O15" s="4"/>
      <c r="P15" s="19">
        <v>0.3645833333333333</v>
      </c>
      <c r="Q15" s="20">
        <v>0.71875</v>
      </c>
      <c r="R15" s="21">
        <f t="shared" si="8"/>
        <v>8.5</v>
      </c>
      <c r="S15" s="4"/>
      <c r="T15" s="4"/>
      <c r="U15" s="4"/>
      <c r="V15" s="4"/>
      <c r="W15" s="4"/>
      <c r="X15" s="4"/>
      <c r="Y15" s="4"/>
      <c r="Z15" s="4"/>
    </row>
    <row r="16">
      <c r="A16" s="15">
        <f t="shared" si="7"/>
        <v>46275</v>
      </c>
      <c r="B16" s="16" t="str">
        <f t="shared" si="3"/>
        <v>Thu</v>
      </c>
      <c r="C16" s="17">
        <v>8.5</v>
      </c>
      <c r="D16" s="17"/>
      <c r="E16" s="18"/>
      <c r="F16" s="18"/>
      <c r="G16" s="18" t="str">
        <f>IF(COUNTIF(Holidays!$A$2:$A$12,$A16)&gt;0, 8,"")</f>
        <v/>
      </c>
      <c r="H16" s="18"/>
      <c r="I16" s="18"/>
      <c r="J16" s="18"/>
      <c r="K16" s="18"/>
      <c r="L16" s="18"/>
      <c r="M16" s="16">
        <f t="shared" si="4"/>
        <v>8.5</v>
      </c>
      <c r="N16" s="27">
        <f t="shared" si="5"/>
        <v>8</v>
      </c>
      <c r="O16" s="4"/>
      <c r="P16" s="19">
        <v>0.375</v>
      </c>
      <c r="Q16" s="20">
        <v>0.71875</v>
      </c>
      <c r="R16" s="21">
        <f t="shared" si="8"/>
        <v>8.25</v>
      </c>
      <c r="S16" s="4"/>
      <c r="T16" s="4"/>
      <c r="U16" s="4"/>
      <c r="V16" s="4"/>
      <c r="W16" s="4"/>
      <c r="X16" s="4"/>
      <c r="Y16" s="4"/>
      <c r="Z16" s="4"/>
    </row>
    <row r="17">
      <c r="A17" s="15">
        <f t="shared" si="7"/>
        <v>46276</v>
      </c>
      <c r="B17" s="16" t="str">
        <f t="shared" si="3"/>
        <v>Fri</v>
      </c>
      <c r="C17" s="17">
        <v>5.0</v>
      </c>
      <c r="D17" s="17"/>
      <c r="E17" s="18"/>
      <c r="F17" s="18"/>
      <c r="G17" s="18" t="str">
        <f>IF(COUNTIF(Holidays!$A$2:$A$12,$A17)&gt;0, 8,"")</f>
        <v/>
      </c>
      <c r="H17" s="18"/>
      <c r="I17" s="18"/>
      <c r="J17" s="18"/>
      <c r="K17" s="18"/>
      <c r="L17" s="18"/>
      <c r="M17" s="28">
        <v>5.0</v>
      </c>
      <c r="N17" s="27">
        <f t="shared" si="5"/>
        <v>8</v>
      </c>
      <c r="O17" s="4"/>
      <c r="P17" s="19">
        <v>0.3958333333333333</v>
      </c>
      <c r="Q17" s="20">
        <v>0.6041666666666666</v>
      </c>
      <c r="R17" s="21">
        <f t="shared" si="8"/>
        <v>5</v>
      </c>
      <c r="S17" s="4"/>
      <c r="T17" s="4"/>
      <c r="U17" s="4"/>
      <c r="V17" s="4"/>
      <c r="W17" s="4"/>
      <c r="X17" s="4"/>
      <c r="Y17" s="4"/>
      <c r="Z17" s="4"/>
    </row>
    <row r="18">
      <c r="A18" s="15">
        <f t="shared" si="7"/>
        <v>46277</v>
      </c>
      <c r="B18" s="16" t="str">
        <f t="shared" si="3"/>
        <v>Sat</v>
      </c>
      <c r="C18" s="17"/>
      <c r="D18" s="18"/>
      <c r="E18" s="18"/>
      <c r="F18" s="18"/>
      <c r="G18" s="18"/>
      <c r="H18" s="18"/>
      <c r="I18" s="18"/>
      <c r="J18" s="18"/>
      <c r="K18" s="18"/>
      <c r="L18" s="18"/>
      <c r="M18" s="16" t="str">
        <f t="shared" ref="M18:M21" si="9">IF(OR(B18="Sat", B18="Sun"), "", sum(C18:J18))</f>
        <v/>
      </c>
      <c r="N18" s="27" t="str">
        <f t="shared" si="5"/>
        <v/>
      </c>
      <c r="O18" s="4"/>
      <c r="P18" s="19"/>
      <c r="Q18" s="20"/>
      <c r="R18" s="21"/>
      <c r="S18" s="4"/>
      <c r="T18" s="4"/>
      <c r="U18" s="4"/>
      <c r="V18" s="4"/>
      <c r="W18" s="4"/>
      <c r="X18" s="4"/>
      <c r="Y18" s="4"/>
      <c r="Z18" s="4"/>
    </row>
    <row r="19">
      <c r="A19" s="15">
        <f t="shared" si="7"/>
        <v>46278</v>
      </c>
      <c r="B19" s="16" t="str">
        <f t="shared" si="3"/>
        <v>Sun</v>
      </c>
      <c r="C19" s="17"/>
      <c r="D19" s="18"/>
      <c r="E19" s="18"/>
      <c r="F19" s="18"/>
      <c r="G19" s="18" t="str">
        <f>IF(COUNTIF(Holidays!$A$2:$A$12,$A19)&gt;0, 8,"")</f>
        <v/>
      </c>
      <c r="H19" s="18"/>
      <c r="I19" s="18"/>
      <c r="J19" s="18"/>
      <c r="K19" s="18"/>
      <c r="L19" s="18"/>
      <c r="M19" s="16" t="str">
        <f t="shared" si="9"/>
        <v/>
      </c>
      <c r="N19" s="27" t="str">
        <f t="shared" si="5"/>
        <v/>
      </c>
      <c r="O19" s="4"/>
      <c r="P19" s="19"/>
      <c r="Q19" s="20"/>
      <c r="R19" s="21"/>
      <c r="S19" s="4"/>
      <c r="T19" s="4"/>
      <c r="U19" s="4"/>
      <c r="V19" s="4"/>
      <c r="W19" s="4"/>
      <c r="X19" s="4"/>
      <c r="Y19" s="4"/>
      <c r="Z19" s="4"/>
    </row>
    <row r="20">
      <c r="A20" s="15">
        <f t="shared" si="7"/>
        <v>46279</v>
      </c>
      <c r="B20" s="16" t="str">
        <f t="shared" si="3"/>
        <v>Mon</v>
      </c>
      <c r="C20" s="17">
        <v>9.0</v>
      </c>
      <c r="D20" s="17"/>
      <c r="E20" s="18"/>
      <c r="F20" s="18"/>
      <c r="G20" s="18" t="str">
        <f>IF(COUNTIF(Holidays!$A$2:$A$12,$A20)&gt;0, 8,"")</f>
        <v/>
      </c>
      <c r="H20" s="18"/>
      <c r="I20" s="18"/>
      <c r="J20" s="18"/>
      <c r="K20" s="18"/>
      <c r="L20" s="18"/>
      <c r="M20" s="16">
        <f t="shared" si="9"/>
        <v>9</v>
      </c>
      <c r="N20" s="27">
        <f t="shared" si="5"/>
        <v>8</v>
      </c>
      <c r="O20" s="4"/>
      <c r="P20" s="19">
        <v>0.3333333333333333</v>
      </c>
      <c r="Q20" s="20">
        <v>0.6666666666666666</v>
      </c>
      <c r="R20" s="21">
        <f t="shared" ref="R20:R21" si="10">(Q20-P20)*24</f>
        <v>8</v>
      </c>
      <c r="S20" s="4"/>
      <c r="T20" s="4"/>
      <c r="U20" s="4"/>
      <c r="V20" s="4"/>
      <c r="W20" s="4"/>
      <c r="X20" s="4"/>
      <c r="Y20" s="4"/>
      <c r="Z20" s="4"/>
    </row>
    <row r="21">
      <c r="A21" s="15">
        <f t="shared" si="7"/>
        <v>46280</v>
      </c>
      <c r="B21" s="16" t="str">
        <f t="shared" si="3"/>
        <v>Tue</v>
      </c>
      <c r="C21" s="17">
        <v>9.0</v>
      </c>
      <c r="D21" s="17"/>
      <c r="E21" s="18"/>
      <c r="F21" s="18"/>
      <c r="G21" s="18" t="str">
        <f>IF(COUNTIF(Holidays!$A$2:$A$12,$A21)&gt;0, 8,"")</f>
        <v/>
      </c>
      <c r="H21" s="18"/>
      <c r="I21" s="18"/>
      <c r="J21" s="18"/>
      <c r="K21" s="18"/>
      <c r="L21" s="18"/>
      <c r="M21" s="16">
        <f t="shared" si="9"/>
        <v>9</v>
      </c>
      <c r="N21" s="27">
        <f t="shared" si="5"/>
        <v>8</v>
      </c>
      <c r="O21" s="4"/>
      <c r="P21" s="19">
        <v>0.3333333333333333</v>
      </c>
      <c r="Q21" s="20">
        <v>0.6666666666666666</v>
      </c>
      <c r="R21" s="21">
        <f t="shared" si="10"/>
        <v>8</v>
      </c>
      <c r="S21" s="4"/>
      <c r="T21" s="4"/>
      <c r="U21" s="4"/>
      <c r="V21" s="4"/>
      <c r="W21" s="4"/>
      <c r="X21" s="4"/>
      <c r="Y21" s="4"/>
      <c r="Z21" s="4"/>
    </row>
    <row r="22">
      <c r="A22" s="2" t="s">
        <v>47</v>
      </c>
      <c r="C22" s="14">
        <f t="shared" ref="C22:N22" si="11">sum(C7:C21)</f>
        <v>80</v>
      </c>
      <c r="D22" s="14">
        <f t="shared" si="11"/>
        <v>5.75</v>
      </c>
      <c r="E22" s="14">
        <f t="shared" si="11"/>
        <v>0</v>
      </c>
      <c r="F22" s="14">
        <f t="shared" si="11"/>
        <v>0</v>
      </c>
      <c r="G22" s="14">
        <f t="shared" si="11"/>
        <v>8</v>
      </c>
      <c r="H22" s="14">
        <f t="shared" si="11"/>
        <v>0</v>
      </c>
      <c r="I22" s="14">
        <f t="shared" si="11"/>
        <v>0</v>
      </c>
      <c r="J22" s="14">
        <f t="shared" si="11"/>
        <v>0</v>
      </c>
      <c r="K22" s="14">
        <f t="shared" si="11"/>
        <v>0</v>
      </c>
      <c r="L22" s="14">
        <f t="shared" si="11"/>
        <v>0</v>
      </c>
      <c r="M22" s="14">
        <f t="shared" si="11"/>
        <v>93.75</v>
      </c>
      <c r="N22" s="26">
        <f t="shared" si="11"/>
        <v>88</v>
      </c>
      <c r="O22" s="4"/>
      <c r="P22" s="4"/>
      <c r="Q22" s="4"/>
      <c r="R22" s="24">
        <f>sum(R7:R21)</f>
        <v>91.5</v>
      </c>
      <c r="S22" s="4"/>
      <c r="T22" s="4"/>
      <c r="U22" s="4"/>
      <c r="V22" s="4"/>
      <c r="W22" s="4"/>
      <c r="X22" s="4"/>
      <c r="Y22" s="4"/>
      <c r="Z22" s="4"/>
    </row>
    <row r="23">
      <c r="A23" s="4"/>
      <c r="B23" s="4"/>
      <c r="C23" s="4"/>
      <c r="D23" s="4"/>
      <c r="E23" s="4"/>
      <c r="F23" s="4"/>
      <c r="G23" s="4"/>
      <c r="H23" s="4"/>
      <c r="I23" s="4"/>
      <c r="J23" s="4"/>
      <c r="K23" s="4"/>
      <c r="L23" s="4"/>
      <c r="M23" s="4"/>
      <c r="N23" s="29"/>
      <c r="O23" s="4"/>
      <c r="P23" s="4"/>
      <c r="Q23" s="4"/>
      <c r="R23" s="4"/>
      <c r="S23" s="4"/>
      <c r="T23" s="4"/>
      <c r="U23" s="4"/>
      <c r="V23" s="4"/>
      <c r="W23" s="4"/>
      <c r="X23" s="4"/>
      <c r="Y23" s="4"/>
      <c r="Z23" s="4"/>
    </row>
    <row r="24">
      <c r="A24" s="4"/>
      <c r="B24" s="4"/>
      <c r="C24" s="4"/>
      <c r="D24" s="4"/>
      <c r="E24" s="4"/>
      <c r="F24" s="4"/>
      <c r="G24" s="4"/>
      <c r="H24" s="4"/>
      <c r="I24" s="4"/>
      <c r="J24" s="4"/>
      <c r="K24" s="4"/>
      <c r="L24" s="4"/>
      <c r="M24" s="4"/>
      <c r="N24" s="29"/>
      <c r="O24" s="4"/>
      <c r="P24" s="4"/>
      <c r="Q24" s="4"/>
      <c r="R24" s="4"/>
      <c r="S24" s="4"/>
      <c r="T24" s="4"/>
      <c r="U24" s="4"/>
      <c r="V24" s="4"/>
      <c r="W24" s="4"/>
      <c r="X24" s="4"/>
      <c r="Y24" s="4"/>
      <c r="Z24" s="4"/>
    </row>
    <row r="25">
      <c r="A25" s="2" t="s">
        <v>49</v>
      </c>
      <c r="B25" s="2" t="s">
        <v>30</v>
      </c>
      <c r="C25" s="14" t="str">
        <f t="array" ref="C25:L25">transpose('Time Types'!A2:A11)</f>
        <v>Regular</v>
      </c>
      <c r="D25" s="14" t="s">
        <v>31</v>
      </c>
      <c r="E25" s="14" t="s">
        <v>32</v>
      </c>
      <c r="F25" s="14" t="s">
        <v>12</v>
      </c>
      <c r="G25" s="14" t="s">
        <v>33</v>
      </c>
      <c r="H25" s="14" t="s">
        <v>34</v>
      </c>
      <c r="I25" s="14" t="s">
        <v>14</v>
      </c>
      <c r="J25" s="14" t="s">
        <v>16</v>
      </c>
      <c r="K25" s="14" t="s">
        <v>35</v>
      </c>
      <c r="L25" s="14" t="s">
        <v>36</v>
      </c>
      <c r="M25" s="2" t="s">
        <v>37</v>
      </c>
      <c r="N25" s="26" t="s">
        <v>38</v>
      </c>
      <c r="O25" s="4"/>
      <c r="P25" s="20"/>
      <c r="Q25" s="19"/>
      <c r="R25" s="21"/>
      <c r="S25" s="4"/>
      <c r="T25" s="4"/>
      <c r="U25" s="4"/>
      <c r="V25" s="4"/>
      <c r="W25" s="4"/>
      <c r="X25" s="4"/>
      <c r="Y25" s="4"/>
      <c r="Z25" s="4"/>
    </row>
    <row r="26">
      <c r="A26" s="15">
        <f>A21+1</f>
        <v>46281</v>
      </c>
      <c r="B26" s="16" t="str">
        <f t="shared" ref="B26:B40" si="12">text(A26,"ddd")</f>
        <v>Wed</v>
      </c>
      <c r="C26" s="17">
        <v>8.0</v>
      </c>
      <c r="D26" s="17">
        <v>0.5</v>
      </c>
      <c r="E26" s="18"/>
      <c r="F26" s="18"/>
      <c r="G26" s="18" t="str">
        <f>IF(COUNTIF(Holidays!$A$2:$A$12,$A26)&gt;0, 8,"")</f>
        <v/>
      </c>
      <c r="H26" s="18"/>
      <c r="I26" s="18"/>
      <c r="J26" s="18"/>
      <c r="K26" s="18"/>
      <c r="L26" s="18"/>
      <c r="M26" s="16">
        <f t="shared" ref="M26:M40" si="13">IF(OR(B26="Sat", B26="Sun"), "", sum(C26:J26))</f>
        <v>8.5</v>
      </c>
      <c r="N26" s="27">
        <f t="shared" ref="N26:N40" si="14">IF(OR(B26="Sat", B26="Sun"), "", 8)</f>
        <v>8</v>
      </c>
      <c r="O26" s="4"/>
      <c r="P26" s="19">
        <v>0.3333333333333333</v>
      </c>
      <c r="Q26" s="20">
        <v>0.6666666666666666</v>
      </c>
      <c r="R26" s="21">
        <f t="shared" ref="R26:R28" si="15">(Q26-P26)*24</f>
        <v>8</v>
      </c>
      <c r="S26" s="4"/>
      <c r="T26" s="4"/>
      <c r="U26" s="4"/>
      <c r="V26" s="4"/>
      <c r="W26" s="4"/>
      <c r="X26" s="4"/>
      <c r="Y26" s="4"/>
      <c r="Z26" s="4"/>
    </row>
    <row r="27">
      <c r="A27" s="15">
        <f t="shared" ref="A27:A40" si="16">A26+1</f>
        <v>46282</v>
      </c>
      <c r="B27" s="16" t="str">
        <f t="shared" si="12"/>
        <v>Thu</v>
      </c>
      <c r="C27" s="17">
        <v>8.0</v>
      </c>
      <c r="D27" s="17">
        <v>0.5</v>
      </c>
      <c r="E27" s="18"/>
      <c r="F27" s="18"/>
      <c r="G27" s="18" t="str">
        <f>IF(COUNTIF(Holidays!$A$2:$A$12,$A27)&gt;0, 8,"")</f>
        <v/>
      </c>
      <c r="H27" s="18"/>
      <c r="I27" s="18"/>
      <c r="J27" s="18"/>
      <c r="K27" s="18"/>
      <c r="L27" s="18"/>
      <c r="M27" s="16">
        <f t="shared" si="13"/>
        <v>8.5</v>
      </c>
      <c r="N27" s="27">
        <f t="shared" si="14"/>
        <v>8</v>
      </c>
      <c r="O27" s="4"/>
      <c r="P27" s="19">
        <v>0.3333333333333333</v>
      </c>
      <c r="Q27" s="20">
        <v>0.6666666666666666</v>
      </c>
      <c r="R27" s="21">
        <f t="shared" si="15"/>
        <v>8</v>
      </c>
      <c r="S27" s="4"/>
      <c r="T27" s="4"/>
      <c r="U27" s="4"/>
      <c r="V27" s="4"/>
      <c r="W27" s="4"/>
      <c r="X27" s="4"/>
      <c r="Y27" s="4"/>
      <c r="Z27" s="4"/>
    </row>
    <row r="28">
      <c r="A28" s="15">
        <f t="shared" si="16"/>
        <v>46283</v>
      </c>
      <c r="B28" s="16" t="str">
        <f t="shared" si="12"/>
        <v>Fri</v>
      </c>
      <c r="C28" s="17">
        <v>8.0</v>
      </c>
      <c r="D28" s="17"/>
      <c r="E28" s="18"/>
      <c r="F28" s="18"/>
      <c r="G28" s="18" t="str">
        <f>IF(COUNTIF(Holidays!$A$2:$A$12,$A28)&gt;0, 8,"")</f>
        <v/>
      </c>
      <c r="H28" s="18"/>
      <c r="I28" s="18"/>
      <c r="J28" s="18"/>
      <c r="K28" s="18"/>
      <c r="L28" s="18"/>
      <c r="M28" s="16">
        <f t="shared" si="13"/>
        <v>8</v>
      </c>
      <c r="N28" s="27">
        <f t="shared" si="14"/>
        <v>8</v>
      </c>
      <c r="O28" s="4"/>
      <c r="P28" s="19">
        <v>0.3333333333333333</v>
      </c>
      <c r="Q28" s="20">
        <v>0.6666666666666666</v>
      </c>
      <c r="R28" s="21">
        <f t="shared" si="15"/>
        <v>8</v>
      </c>
      <c r="S28" s="4"/>
      <c r="T28" s="4"/>
      <c r="U28" s="4"/>
      <c r="V28" s="4"/>
      <c r="W28" s="4"/>
      <c r="X28" s="4"/>
      <c r="Y28" s="4"/>
      <c r="Z28" s="4"/>
    </row>
    <row r="29">
      <c r="A29" s="15">
        <f t="shared" si="16"/>
        <v>46284</v>
      </c>
      <c r="B29" s="16" t="str">
        <f t="shared" si="12"/>
        <v>Sat</v>
      </c>
      <c r="C29" s="18"/>
      <c r="D29" s="18"/>
      <c r="E29" s="18"/>
      <c r="F29" s="18"/>
      <c r="G29" s="18" t="str">
        <f>IF(COUNTIF(Holidays!$A$2:$A$12,$A29)&gt;0, 8,"")</f>
        <v/>
      </c>
      <c r="H29" s="18"/>
      <c r="I29" s="18"/>
      <c r="J29" s="18"/>
      <c r="K29" s="18"/>
      <c r="L29" s="18"/>
      <c r="M29" s="16" t="str">
        <f t="shared" si="13"/>
        <v/>
      </c>
      <c r="N29" s="27" t="str">
        <f t="shared" si="14"/>
        <v/>
      </c>
      <c r="O29" s="4"/>
      <c r="P29" s="19"/>
      <c r="Q29" s="20"/>
      <c r="R29" s="21"/>
      <c r="S29" s="4"/>
      <c r="T29" s="4"/>
      <c r="U29" s="4"/>
      <c r="V29" s="4"/>
      <c r="W29" s="4"/>
      <c r="X29" s="4"/>
      <c r="Y29" s="4"/>
      <c r="Z29" s="4"/>
    </row>
    <row r="30">
      <c r="A30" s="15">
        <f t="shared" si="16"/>
        <v>46285</v>
      </c>
      <c r="B30" s="16" t="str">
        <f t="shared" si="12"/>
        <v>Sun</v>
      </c>
      <c r="C30" s="17"/>
      <c r="D30" s="18"/>
      <c r="E30" s="18"/>
      <c r="F30" s="18"/>
      <c r="G30" s="18" t="str">
        <f>IF(COUNTIF(Holidays!$A$2:$A$12,$A30)&gt;0, 8,"")</f>
        <v/>
      </c>
      <c r="H30" s="18"/>
      <c r="I30" s="18"/>
      <c r="J30" s="18"/>
      <c r="K30" s="18"/>
      <c r="L30" s="18"/>
      <c r="M30" s="16" t="str">
        <f t="shared" si="13"/>
        <v/>
      </c>
      <c r="N30" s="27" t="str">
        <f t="shared" si="14"/>
        <v/>
      </c>
      <c r="O30" s="4"/>
      <c r="P30" s="19"/>
      <c r="Q30" s="20"/>
      <c r="R30" s="21"/>
      <c r="S30" s="4"/>
      <c r="T30" s="4"/>
      <c r="U30" s="4"/>
      <c r="V30" s="4"/>
      <c r="W30" s="4"/>
      <c r="X30" s="4"/>
      <c r="Y30" s="4"/>
      <c r="Z30" s="4"/>
    </row>
    <row r="31">
      <c r="A31" s="15">
        <f t="shared" si="16"/>
        <v>46286</v>
      </c>
      <c r="B31" s="16" t="str">
        <f t="shared" si="12"/>
        <v>Mon</v>
      </c>
      <c r="C31" s="17">
        <v>8.0</v>
      </c>
      <c r="D31" s="17">
        <v>1.0</v>
      </c>
      <c r="E31" s="18"/>
      <c r="F31" s="18"/>
      <c r="G31" s="18" t="str">
        <f>IF(COUNTIF(Holidays!$A$2:$A$12,$A31)&gt;0, 8,"")</f>
        <v/>
      </c>
      <c r="H31" s="18"/>
      <c r="I31" s="18"/>
      <c r="J31" s="18"/>
      <c r="K31" s="18"/>
      <c r="L31" s="18"/>
      <c r="M31" s="16">
        <f t="shared" si="13"/>
        <v>9</v>
      </c>
      <c r="N31" s="27">
        <f t="shared" si="14"/>
        <v>8</v>
      </c>
      <c r="O31" s="4"/>
      <c r="P31" s="19">
        <v>0.3333333333333333</v>
      </c>
      <c r="Q31" s="20">
        <v>0.6666666666666666</v>
      </c>
      <c r="R31" s="21">
        <f t="shared" ref="R31:R35" si="17">(Q31-P31)*24</f>
        <v>8</v>
      </c>
      <c r="S31" s="4"/>
      <c r="T31" s="4"/>
      <c r="U31" s="4"/>
      <c r="V31" s="4"/>
      <c r="W31" s="4"/>
      <c r="X31" s="4"/>
      <c r="Y31" s="4"/>
      <c r="Z31" s="4"/>
    </row>
    <row r="32">
      <c r="A32" s="15">
        <f t="shared" si="16"/>
        <v>46287</v>
      </c>
      <c r="B32" s="16" t="str">
        <f t="shared" si="12"/>
        <v>Tue</v>
      </c>
      <c r="C32" s="17">
        <v>8.0</v>
      </c>
      <c r="D32" s="17">
        <v>1.0</v>
      </c>
      <c r="E32" s="18"/>
      <c r="F32" s="18"/>
      <c r="G32" s="18" t="str">
        <f>IF(COUNTIF(Holidays!$A$2:$A$12,$A32)&gt;0, 8,"")</f>
        <v/>
      </c>
      <c r="H32" s="18"/>
      <c r="I32" s="18"/>
      <c r="J32" s="18"/>
      <c r="K32" s="18"/>
      <c r="L32" s="18"/>
      <c r="M32" s="16">
        <f t="shared" si="13"/>
        <v>9</v>
      </c>
      <c r="N32" s="27">
        <f t="shared" si="14"/>
        <v>8</v>
      </c>
      <c r="O32" s="4"/>
      <c r="P32" s="19">
        <v>0.3333333333333333</v>
      </c>
      <c r="Q32" s="20">
        <v>0.6666666666666666</v>
      </c>
      <c r="R32" s="21">
        <f t="shared" si="17"/>
        <v>8</v>
      </c>
      <c r="S32" s="4"/>
      <c r="T32" s="4"/>
      <c r="U32" s="4"/>
      <c r="V32" s="4"/>
      <c r="W32" s="4"/>
      <c r="X32" s="4"/>
      <c r="Y32" s="4"/>
      <c r="Z32" s="4"/>
    </row>
    <row r="33">
      <c r="A33" s="15">
        <f t="shared" si="16"/>
        <v>46288</v>
      </c>
      <c r="B33" s="16" t="str">
        <f t="shared" si="12"/>
        <v>Wed</v>
      </c>
      <c r="C33" s="17">
        <v>8.0</v>
      </c>
      <c r="D33" s="17">
        <v>0.5</v>
      </c>
      <c r="E33" s="18"/>
      <c r="F33" s="18"/>
      <c r="G33" s="18" t="str">
        <f>IF(COUNTIF(Holidays!$A$2:$A$12,$A33)&gt;0, 8,"")</f>
        <v/>
      </c>
      <c r="H33" s="18"/>
      <c r="I33" s="18"/>
      <c r="J33" s="18"/>
      <c r="K33" s="18"/>
      <c r="L33" s="18"/>
      <c r="M33" s="16">
        <f t="shared" si="13"/>
        <v>8.5</v>
      </c>
      <c r="N33" s="27">
        <f t="shared" si="14"/>
        <v>8</v>
      </c>
      <c r="O33" s="4"/>
      <c r="P33" s="19">
        <v>0.3333333333333333</v>
      </c>
      <c r="Q33" s="20">
        <v>0.6666666666666666</v>
      </c>
      <c r="R33" s="21">
        <f t="shared" si="17"/>
        <v>8</v>
      </c>
      <c r="S33" s="4"/>
      <c r="T33" s="4"/>
      <c r="U33" s="4"/>
      <c r="V33" s="4"/>
      <c r="W33" s="4"/>
      <c r="X33" s="4"/>
      <c r="Y33" s="4"/>
      <c r="Z33" s="4"/>
    </row>
    <row r="34">
      <c r="A34" s="15">
        <f t="shared" si="16"/>
        <v>46289</v>
      </c>
      <c r="B34" s="16" t="str">
        <f t="shared" si="12"/>
        <v>Thu</v>
      </c>
      <c r="C34" s="17">
        <v>8.0</v>
      </c>
      <c r="D34" s="17">
        <v>0.5</v>
      </c>
      <c r="E34" s="18"/>
      <c r="F34" s="18"/>
      <c r="G34" s="18" t="str">
        <f>IF(COUNTIF(Holidays!$A$2:$A$12,$A34)&gt;0, 8,"")</f>
        <v/>
      </c>
      <c r="H34" s="18"/>
      <c r="I34" s="18"/>
      <c r="J34" s="18"/>
      <c r="K34" s="18"/>
      <c r="L34" s="18"/>
      <c r="M34" s="16">
        <f t="shared" si="13"/>
        <v>8.5</v>
      </c>
      <c r="N34" s="27">
        <f t="shared" si="14"/>
        <v>8</v>
      </c>
      <c r="O34" s="4"/>
      <c r="P34" s="19">
        <v>0.3333333333333333</v>
      </c>
      <c r="Q34" s="20">
        <v>0.6666666666666666</v>
      </c>
      <c r="R34" s="21">
        <f t="shared" si="17"/>
        <v>8</v>
      </c>
      <c r="S34" s="4"/>
      <c r="T34" s="4"/>
      <c r="U34" s="4"/>
      <c r="V34" s="4"/>
      <c r="W34" s="4"/>
      <c r="X34" s="4"/>
      <c r="Y34" s="4"/>
      <c r="Z34" s="4"/>
    </row>
    <row r="35">
      <c r="A35" s="15">
        <f t="shared" si="16"/>
        <v>46290</v>
      </c>
      <c r="B35" s="16" t="str">
        <f t="shared" si="12"/>
        <v>Fri</v>
      </c>
      <c r="C35" s="17">
        <v>8.0</v>
      </c>
      <c r="D35" s="17"/>
      <c r="E35" s="18"/>
      <c r="F35" s="18"/>
      <c r="G35" s="18" t="str">
        <f>IF(COUNTIF(Holidays!$A$2:$A$12,$A35)&gt;0, 8,"")</f>
        <v/>
      </c>
      <c r="H35" s="18"/>
      <c r="I35" s="18"/>
      <c r="J35" s="18"/>
      <c r="K35" s="18"/>
      <c r="L35" s="18"/>
      <c r="M35" s="16">
        <f t="shared" si="13"/>
        <v>8</v>
      </c>
      <c r="N35" s="27">
        <f t="shared" si="14"/>
        <v>8</v>
      </c>
      <c r="O35" s="4"/>
      <c r="P35" s="19">
        <v>0.3333333333333333</v>
      </c>
      <c r="Q35" s="20">
        <v>0.6666666666666666</v>
      </c>
      <c r="R35" s="21">
        <f t="shared" si="17"/>
        <v>8</v>
      </c>
      <c r="S35" s="4"/>
      <c r="T35" s="4"/>
      <c r="U35" s="4"/>
      <c r="V35" s="4"/>
      <c r="W35" s="4"/>
      <c r="X35" s="4"/>
      <c r="Y35" s="4"/>
      <c r="Z35" s="4"/>
    </row>
    <row r="36">
      <c r="A36" s="15">
        <f t="shared" si="16"/>
        <v>46291</v>
      </c>
      <c r="B36" s="16" t="str">
        <f t="shared" si="12"/>
        <v>Sat</v>
      </c>
      <c r="C36" s="17"/>
      <c r="D36" s="18"/>
      <c r="E36" s="18"/>
      <c r="F36" s="18"/>
      <c r="G36" s="18" t="str">
        <f>IF(COUNTIF(Holidays!$A$2:$A$12,$A36)&gt;0, 8,"")</f>
        <v/>
      </c>
      <c r="H36" s="18"/>
      <c r="I36" s="18"/>
      <c r="J36" s="18"/>
      <c r="K36" s="18"/>
      <c r="L36" s="18"/>
      <c r="M36" s="16" t="str">
        <f t="shared" si="13"/>
        <v/>
      </c>
      <c r="N36" s="27" t="str">
        <f t="shared" si="14"/>
        <v/>
      </c>
      <c r="O36" s="4"/>
      <c r="P36" s="19"/>
      <c r="Q36" s="20"/>
      <c r="R36" s="21"/>
      <c r="S36" s="4"/>
      <c r="T36" s="4"/>
      <c r="U36" s="4"/>
      <c r="V36" s="4"/>
      <c r="W36" s="4"/>
      <c r="X36" s="4"/>
      <c r="Y36" s="4"/>
      <c r="Z36" s="4"/>
    </row>
    <row r="37">
      <c r="A37" s="15">
        <f t="shared" si="16"/>
        <v>46292</v>
      </c>
      <c r="B37" s="16" t="str">
        <f t="shared" si="12"/>
        <v>Sun</v>
      </c>
      <c r="C37" s="17"/>
      <c r="D37" s="18"/>
      <c r="E37" s="18"/>
      <c r="F37" s="18"/>
      <c r="G37" s="18" t="str">
        <f>IF(COUNTIF(Holidays!$A$2:$A$12,$A37)&gt;0, 8,"")</f>
        <v/>
      </c>
      <c r="H37" s="18"/>
      <c r="I37" s="18"/>
      <c r="J37" s="18"/>
      <c r="K37" s="18"/>
      <c r="L37" s="18"/>
      <c r="M37" s="16" t="str">
        <f t="shared" si="13"/>
        <v/>
      </c>
      <c r="N37" s="27" t="str">
        <f t="shared" si="14"/>
        <v/>
      </c>
      <c r="O37" s="4"/>
      <c r="P37" s="19"/>
      <c r="Q37" s="20"/>
      <c r="R37" s="21"/>
      <c r="S37" s="4"/>
      <c r="T37" s="4"/>
      <c r="U37" s="4"/>
      <c r="V37" s="4"/>
      <c r="W37" s="4"/>
      <c r="X37" s="4"/>
      <c r="Y37" s="4"/>
      <c r="Z37" s="4"/>
    </row>
    <row r="38">
      <c r="A38" s="15">
        <f t="shared" si="16"/>
        <v>46293</v>
      </c>
      <c r="B38" s="16" t="str">
        <f t="shared" si="12"/>
        <v>Mon</v>
      </c>
      <c r="C38" s="17">
        <v>8.0</v>
      </c>
      <c r="D38" s="17">
        <v>1.0</v>
      </c>
      <c r="E38" s="18"/>
      <c r="F38" s="18"/>
      <c r="G38" s="18" t="str">
        <f>IF(COUNTIF(Holidays!$A$2:$A$12,$A38)&gt;0, 8,"")</f>
        <v/>
      </c>
      <c r="H38" s="18"/>
      <c r="I38" s="18"/>
      <c r="J38" s="18"/>
      <c r="K38" s="18"/>
      <c r="L38" s="18"/>
      <c r="M38" s="16">
        <f t="shared" si="13"/>
        <v>9</v>
      </c>
      <c r="N38" s="27">
        <f t="shared" si="14"/>
        <v>8</v>
      </c>
      <c r="O38" s="4"/>
      <c r="P38" s="19">
        <v>0.3333333333333333</v>
      </c>
      <c r="Q38" s="20">
        <v>0.6666666666666666</v>
      </c>
      <c r="R38" s="21">
        <f t="shared" ref="R38:R41" si="18">(Q38-P38)*24</f>
        <v>8</v>
      </c>
      <c r="S38" s="4"/>
      <c r="T38" s="4"/>
      <c r="U38" s="4"/>
      <c r="V38" s="4"/>
      <c r="W38" s="4"/>
      <c r="X38" s="4"/>
      <c r="Y38" s="4"/>
      <c r="Z38" s="4"/>
    </row>
    <row r="39">
      <c r="A39" s="15">
        <f t="shared" si="16"/>
        <v>46294</v>
      </c>
      <c r="B39" s="16" t="str">
        <f t="shared" si="12"/>
        <v>Tue</v>
      </c>
      <c r="C39" s="17">
        <v>8.0</v>
      </c>
      <c r="D39" s="17">
        <v>1.0</v>
      </c>
      <c r="E39" s="18"/>
      <c r="F39" s="18"/>
      <c r="G39" s="18" t="str">
        <f>IF(COUNTIF(Holidays!$A$2:$A$12,$A39)&gt;0, 8,"")</f>
        <v/>
      </c>
      <c r="H39" s="18"/>
      <c r="I39" s="18"/>
      <c r="J39" s="18"/>
      <c r="K39" s="18"/>
      <c r="L39" s="18"/>
      <c r="M39" s="16">
        <f t="shared" si="13"/>
        <v>9</v>
      </c>
      <c r="N39" s="27">
        <f t="shared" si="14"/>
        <v>8</v>
      </c>
      <c r="O39" s="4"/>
      <c r="P39" s="19">
        <v>0.3333333333333333</v>
      </c>
      <c r="Q39" s="20">
        <v>0.6666666666666666</v>
      </c>
      <c r="R39" s="21">
        <f t="shared" si="18"/>
        <v>8</v>
      </c>
      <c r="S39" s="4"/>
      <c r="T39" s="4"/>
      <c r="U39" s="4"/>
      <c r="V39" s="4"/>
      <c r="W39" s="4"/>
      <c r="X39" s="4"/>
      <c r="Y39" s="4"/>
      <c r="Z39" s="4"/>
    </row>
    <row r="40">
      <c r="A40" s="15">
        <f t="shared" si="16"/>
        <v>46295</v>
      </c>
      <c r="B40" s="16" t="str">
        <f t="shared" si="12"/>
        <v>Wed</v>
      </c>
      <c r="C40" s="17">
        <v>8.0</v>
      </c>
      <c r="D40" s="17">
        <v>0.5</v>
      </c>
      <c r="E40" s="18"/>
      <c r="F40" s="18"/>
      <c r="G40" s="18" t="str">
        <f>IF(COUNTIF(Holidays!$A$2:$A$12,$A40)&gt;0, 8,"")</f>
        <v/>
      </c>
      <c r="H40" s="18"/>
      <c r="I40" s="18"/>
      <c r="J40" s="18"/>
      <c r="K40" s="18"/>
      <c r="L40" s="18"/>
      <c r="M40" s="16">
        <f t="shared" si="13"/>
        <v>8.5</v>
      </c>
      <c r="N40" s="27">
        <f t="shared" si="14"/>
        <v>8</v>
      </c>
      <c r="O40" s="4"/>
      <c r="P40" s="19">
        <v>0.3333333333333333</v>
      </c>
      <c r="Q40" s="20">
        <v>0.6666666666666666</v>
      </c>
      <c r="R40" s="21">
        <f t="shared" si="18"/>
        <v>8</v>
      </c>
      <c r="S40" s="4"/>
      <c r="T40" s="4"/>
      <c r="U40" s="4"/>
      <c r="V40" s="4"/>
      <c r="W40" s="4"/>
      <c r="X40" s="4"/>
      <c r="Y40" s="4"/>
      <c r="Z40" s="4"/>
    </row>
    <row r="41">
      <c r="A41" s="16"/>
      <c r="B41" s="16"/>
      <c r="C41" s="17"/>
      <c r="D41" s="17"/>
      <c r="E41" s="18"/>
      <c r="F41" s="18"/>
      <c r="G41" s="18" t="str">
        <f>IF(COUNTIF(Holidays!$A$2:$A$12,$A41)&gt;0, 8,"")</f>
        <v/>
      </c>
      <c r="H41" s="18"/>
      <c r="I41" s="18"/>
      <c r="J41" s="18"/>
      <c r="K41" s="18"/>
      <c r="L41" s="18"/>
      <c r="M41" s="16"/>
      <c r="N41" s="27"/>
      <c r="O41" s="4"/>
      <c r="P41" s="19">
        <v>0.3333333333333333</v>
      </c>
      <c r="Q41" s="20">
        <v>0.6666666666666666</v>
      </c>
      <c r="R41" s="21">
        <f t="shared" si="18"/>
        <v>8</v>
      </c>
      <c r="S41" s="4"/>
      <c r="T41" s="4"/>
      <c r="U41" s="4"/>
      <c r="V41" s="4"/>
      <c r="W41" s="4"/>
      <c r="X41" s="4"/>
      <c r="Y41" s="4"/>
      <c r="Z41" s="4"/>
    </row>
    <row r="42">
      <c r="A42" s="2" t="s">
        <v>47</v>
      </c>
      <c r="C42" s="14">
        <f t="shared" ref="C42:N42" si="19">sum(C26:C41)</f>
        <v>88</v>
      </c>
      <c r="D42" s="14">
        <f t="shared" si="19"/>
        <v>6.5</v>
      </c>
      <c r="E42" s="14">
        <f t="shared" si="19"/>
        <v>0</v>
      </c>
      <c r="F42" s="14">
        <f t="shared" si="19"/>
        <v>0</v>
      </c>
      <c r="G42" s="14">
        <f t="shared" si="19"/>
        <v>0</v>
      </c>
      <c r="H42" s="14">
        <f t="shared" si="19"/>
        <v>0</v>
      </c>
      <c r="I42" s="14">
        <f t="shared" si="19"/>
        <v>0</v>
      </c>
      <c r="J42" s="14">
        <f t="shared" si="19"/>
        <v>0</v>
      </c>
      <c r="K42" s="14">
        <f t="shared" si="19"/>
        <v>0</v>
      </c>
      <c r="L42" s="14">
        <f t="shared" si="19"/>
        <v>0</v>
      </c>
      <c r="M42" s="14">
        <f t="shared" si="19"/>
        <v>94.5</v>
      </c>
      <c r="N42" s="26">
        <f t="shared" si="19"/>
        <v>88</v>
      </c>
      <c r="O42" s="4"/>
      <c r="P42" s="4"/>
      <c r="Q42" s="4"/>
      <c r="R42" s="24">
        <f>sum(R25:R41)</f>
        <v>96</v>
      </c>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4">
    <mergeCell ref="M2:N2"/>
    <mergeCell ref="P2:Q2"/>
    <mergeCell ref="A22:B22"/>
    <mergeCell ref="A42:B42"/>
  </mergeCells>
  <conditionalFormatting sqref="C7:L21 C26:L41">
    <cfRule type="expression" dxfId="0" priority="1">
      <formula>OR($B7="Sat", $B7="Sun")</formula>
    </cfRule>
  </conditionalFormatting>
  <conditionalFormatting sqref="C7:L21 C26:L41">
    <cfRule type="notContainsBlanks" dxfId="1" priority="2">
      <formula>LEN(TRIM(C7))&gt;0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s>
  <sheetData>
    <row r="1">
      <c r="A1" s="2" t="s">
        <v>64</v>
      </c>
      <c r="B1" s="2" t="s">
        <v>4</v>
      </c>
      <c r="C1" s="2" t="s">
        <v>6</v>
      </c>
      <c r="D1" s="2" t="s">
        <v>7</v>
      </c>
      <c r="E1" s="2" t="s">
        <v>9</v>
      </c>
      <c r="F1" s="4"/>
      <c r="I1" s="4"/>
      <c r="J1" s="4"/>
      <c r="K1" s="4"/>
      <c r="L1" s="4"/>
      <c r="M1" s="4"/>
      <c r="N1" s="4"/>
      <c r="O1" s="4"/>
      <c r="P1" s="4"/>
      <c r="Q1" s="4"/>
      <c r="R1" s="4"/>
      <c r="S1" s="4"/>
      <c r="T1" s="4"/>
      <c r="U1" s="4"/>
      <c r="V1" s="4"/>
      <c r="W1" s="4"/>
      <c r="X1" s="4"/>
      <c r="Y1" s="4"/>
      <c r="Z1" s="4"/>
    </row>
    <row r="2">
      <c r="A2" s="8" t="s">
        <v>13</v>
      </c>
      <c r="B2" s="12">
        <f t="array" ref="B2">INDIRECT(TEXT(EDATE(DATE(2026, MATCH($A$1, {"January","February","March","April","May","June","July","August","September","October","November","December"}, 0), 1), -1), "mmm") &amp; " 26!B4")</f>
        <v>82.5</v>
      </c>
      <c r="C2" s="12">
        <f t="array" ref="C2">INDIRECT(TEXT(EDATE(DATE(2026, MATCH($A$1, {"January","February","March","April","May","June","July","August","September","October","November","December"}, 0), 1), -1), "mmm") &amp; " 26!C4")</f>
        <v>13.5</v>
      </c>
      <c r="D2" s="12">
        <f t="array" ref="D2">INDIRECT(TEXT(EDATE(DATE(2026, MATCH($A$1, {"January","February","March","April","May","June","July","August","September","October","November","December"}, 0), 1), -1), "mmm") &amp; " 26!D4")</f>
        <v>8</v>
      </c>
      <c r="E2" s="12">
        <f t="array" ref="E2">INDIRECT(TEXT(EDATE(DATE(2026, MATCH($A$1, {"January","February","March","April","May","June","July","August","September","October","November","December"}, 0), 1), -1), "mmm") &amp; " 26!E4")</f>
        <v>40</v>
      </c>
      <c r="F2" s="4"/>
      <c r="G2" s="2" t="s">
        <v>8</v>
      </c>
      <c r="H2" s="12">
        <f>'START HERE'!B6</f>
        <v>5</v>
      </c>
      <c r="I2" s="4"/>
      <c r="J2" s="4"/>
      <c r="K2" s="4"/>
      <c r="L2" s="4"/>
      <c r="M2" s="13"/>
      <c r="O2" s="4"/>
      <c r="P2" s="13"/>
      <c r="R2" s="4"/>
      <c r="S2" s="4"/>
      <c r="T2" s="4"/>
      <c r="U2" s="4"/>
      <c r="V2" s="4"/>
      <c r="W2" s="4"/>
      <c r="X2" s="4"/>
      <c r="Y2" s="4"/>
      <c r="Z2" s="4"/>
    </row>
    <row r="3">
      <c r="A3" s="8" t="s">
        <v>23</v>
      </c>
      <c r="B3" s="12">
        <f>B2+H2-F22</f>
        <v>87.5</v>
      </c>
      <c r="C3" s="12">
        <f>C2+D22-E22</f>
        <v>16.25</v>
      </c>
      <c r="D3" s="12">
        <f t="shared" ref="D3:E3" si="1">D2-I22</f>
        <v>8</v>
      </c>
      <c r="E3" s="12">
        <f t="shared" si="1"/>
        <v>40</v>
      </c>
      <c r="F3" s="4"/>
      <c r="G3" s="4"/>
      <c r="H3" s="4"/>
      <c r="I3" s="4"/>
      <c r="J3" s="4"/>
      <c r="K3" s="4"/>
      <c r="L3" s="4"/>
      <c r="M3" s="4"/>
      <c r="N3" s="4"/>
      <c r="O3" s="4"/>
      <c r="P3" s="4"/>
      <c r="Q3" s="4"/>
      <c r="R3" s="4"/>
      <c r="S3" s="4"/>
      <c r="T3" s="4"/>
      <c r="U3" s="4"/>
      <c r="V3" s="4"/>
      <c r="W3" s="4"/>
      <c r="X3" s="4"/>
      <c r="Y3" s="4"/>
      <c r="Z3" s="4"/>
    </row>
    <row r="4">
      <c r="A4" s="8" t="s">
        <v>25</v>
      </c>
      <c r="B4" s="12">
        <f>B3+H2-F42</f>
        <v>92.5</v>
      </c>
      <c r="C4" s="12">
        <f>C3+D42-E42</f>
        <v>16.25</v>
      </c>
      <c r="D4" s="12">
        <f t="shared" ref="D4:E4" si="2">D3-I42</f>
        <v>8</v>
      </c>
      <c r="E4" s="12">
        <f t="shared" si="2"/>
        <v>40</v>
      </c>
      <c r="F4" s="4"/>
      <c r="G4" s="4"/>
      <c r="H4" s="4"/>
      <c r="I4" s="4"/>
      <c r="J4" s="4"/>
      <c r="K4" s="4"/>
      <c r="L4" s="4"/>
      <c r="M4" s="4"/>
      <c r="N4" s="4"/>
      <c r="O4" s="4"/>
      <c r="P4" s="4"/>
      <c r="Q4" s="4"/>
      <c r="R4" s="4"/>
      <c r="S4" s="4"/>
      <c r="T4" s="4"/>
      <c r="U4" s="4"/>
      <c r="V4" s="4"/>
      <c r="W4" s="4"/>
      <c r="X4" s="4"/>
      <c r="Y4" s="4"/>
      <c r="Z4" s="4"/>
    </row>
    <row r="5">
      <c r="A5" s="4"/>
      <c r="B5" s="4"/>
      <c r="C5" s="4"/>
      <c r="D5" s="4"/>
      <c r="E5" s="4"/>
      <c r="F5" s="4"/>
      <c r="G5" s="4"/>
      <c r="H5" s="4"/>
      <c r="I5" s="4"/>
      <c r="J5" s="4"/>
      <c r="K5" s="4"/>
      <c r="L5" s="4"/>
      <c r="M5" s="4"/>
      <c r="N5" s="4"/>
      <c r="O5" s="4"/>
      <c r="P5" s="13" t="s">
        <v>26</v>
      </c>
      <c r="Q5" s="13" t="s">
        <v>27</v>
      </c>
      <c r="R5" s="13" t="s">
        <v>28</v>
      </c>
      <c r="S5" s="4"/>
      <c r="T5" s="4"/>
      <c r="U5" s="4"/>
      <c r="V5" s="4"/>
      <c r="W5" s="4"/>
      <c r="X5" s="4"/>
      <c r="Y5" s="4"/>
      <c r="Z5" s="4"/>
    </row>
    <row r="6">
      <c r="A6" s="2" t="s">
        <v>29</v>
      </c>
      <c r="B6" s="2" t="s">
        <v>30</v>
      </c>
      <c r="C6" s="14" t="str">
        <f t="array" ref="C6:L6">TRANSPOSE('Time Types'!A2:A11)</f>
        <v>Regular</v>
      </c>
      <c r="D6" s="14" t="s">
        <v>31</v>
      </c>
      <c r="E6" s="14" t="s">
        <v>32</v>
      </c>
      <c r="F6" s="14" t="s">
        <v>12</v>
      </c>
      <c r="G6" s="14" t="s">
        <v>33</v>
      </c>
      <c r="H6" s="14" t="s">
        <v>34</v>
      </c>
      <c r="I6" s="14" t="s">
        <v>14</v>
      </c>
      <c r="J6" s="14" t="s">
        <v>16</v>
      </c>
      <c r="K6" s="14" t="s">
        <v>35</v>
      </c>
      <c r="L6" s="14" t="s">
        <v>36</v>
      </c>
      <c r="M6" s="2" t="s">
        <v>37</v>
      </c>
      <c r="N6" s="26" t="s">
        <v>38</v>
      </c>
      <c r="O6" s="4"/>
      <c r="P6" s="20"/>
      <c r="Q6" s="20"/>
      <c r="R6" s="21"/>
      <c r="S6" s="4"/>
      <c r="T6" s="4"/>
      <c r="U6" s="4"/>
      <c r="V6" s="4"/>
      <c r="W6" s="4"/>
      <c r="X6" s="4"/>
      <c r="Y6" s="4"/>
      <c r="Z6" s="4"/>
    </row>
    <row r="7">
      <c r="A7" s="15">
        <f>DATE(2026, MONTH(DATEVALUE($A$1 &amp; " 1")), 1)</f>
        <v>46296</v>
      </c>
      <c r="B7" s="16" t="str">
        <f t="shared" ref="B7:B21" si="3">text(A7,"ddd")</f>
        <v>Thu</v>
      </c>
      <c r="C7" s="17">
        <v>8.0</v>
      </c>
      <c r="D7" s="17">
        <v>0.5</v>
      </c>
      <c r="E7" s="18"/>
      <c r="F7" s="18"/>
      <c r="G7" s="18" t="str">
        <f>IF(COUNTIF(Holidays!$A$2:$A$12,$A7)&gt;0, 8,"")</f>
        <v/>
      </c>
      <c r="H7" s="18"/>
      <c r="I7" s="18"/>
      <c r="J7" s="18"/>
      <c r="K7" s="18"/>
      <c r="L7" s="18"/>
      <c r="M7" s="16">
        <f t="shared" ref="M7:M21" si="4">IF(OR(B7="Sat", B7="Sun"), "", sum(C7:J7))</f>
        <v>8.5</v>
      </c>
      <c r="N7" s="27">
        <f t="shared" ref="N7:N21" si="5">IF(OR(B7="Sat", B7="Sun"), "", 8)</f>
        <v>8</v>
      </c>
      <c r="O7" s="4"/>
      <c r="P7" s="19">
        <v>0.3333333333333333</v>
      </c>
      <c r="Q7" s="20">
        <v>0.6666666666666666</v>
      </c>
      <c r="R7" s="21">
        <f t="shared" ref="R7:R8" si="6">(Q7-P7)*24</f>
        <v>8</v>
      </c>
      <c r="S7" s="4"/>
      <c r="T7" s="4"/>
      <c r="U7" s="4"/>
      <c r="V7" s="4"/>
      <c r="W7" s="4"/>
      <c r="X7" s="4"/>
      <c r="Y7" s="4"/>
      <c r="Z7" s="4"/>
    </row>
    <row r="8">
      <c r="A8" s="15">
        <f t="shared" ref="A8:A21" si="7">A7+1</f>
        <v>46297</v>
      </c>
      <c r="B8" s="16" t="str">
        <f t="shared" si="3"/>
        <v>Fri</v>
      </c>
      <c r="C8" s="17">
        <v>8.0</v>
      </c>
      <c r="D8" s="17"/>
      <c r="E8" s="18"/>
      <c r="F8" s="18"/>
      <c r="G8" s="18" t="str">
        <f>IF(COUNTIF(Holidays!$A$2:$A$12,$A8)&gt;0, 8,"")</f>
        <v/>
      </c>
      <c r="H8" s="18"/>
      <c r="I8" s="18"/>
      <c r="J8" s="18"/>
      <c r="K8" s="18"/>
      <c r="L8" s="18"/>
      <c r="M8" s="16">
        <f t="shared" si="4"/>
        <v>8</v>
      </c>
      <c r="N8" s="27">
        <f t="shared" si="5"/>
        <v>8</v>
      </c>
      <c r="O8" s="4"/>
      <c r="P8" s="19">
        <v>0.3333333333333333</v>
      </c>
      <c r="Q8" s="20">
        <v>0.6666666666666666</v>
      </c>
      <c r="R8" s="21">
        <f t="shared" si="6"/>
        <v>8</v>
      </c>
      <c r="S8" s="4"/>
      <c r="T8" s="4"/>
      <c r="U8" s="4"/>
      <c r="V8" s="4"/>
      <c r="W8" s="4"/>
      <c r="X8" s="4"/>
      <c r="Y8" s="4"/>
      <c r="Z8" s="4"/>
    </row>
    <row r="9">
      <c r="A9" s="15">
        <f t="shared" si="7"/>
        <v>46298</v>
      </c>
      <c r="B9" s="16" t="str">
        <f t="shared" si="3"/>
        <v>Sat</v>
      </c>
      <c r="C9" s="18"/>
      <c r="D9" s="17"/>
      <c r="E9" s="18"/>
      <c r="F9" s="18"/>
      <c r="G9" s="18" t="str">
        <f>IF(COUNTIF(Holidays!$A$2:$A$12,$A9)&gt;0, 8,"")</f>
        <v/>
      </c>
      <c r="H9" s="18"/>
      <c r="I9" s="18"/>
      <c r="J9" s="18"/>
      <c r="K9" s="18"/>
      <c r="L9" s="18"/>
      <c r="M9" s="16" t="str">
        <f t="shared" si="4"/>
        <v/>
      </c>
      <c r="N9" s="30" t="str">
        <f t="shared" si="5"/>
        <v/>
      </c>
      <c r="O9" s="4"/>
      <c r="P9" s="19"/>
      <c r="Q9" s="20"/>
      <c r="R9" s="21"/>
      <c r="S9" s="4"/>
      <c r="T9" s="4"/>
      <c r="U9" s="4"/>
      <c r="V9" s="4"/>
      <c r="W9" s="4"/>
      <c r="X9" s="4"/>
      <c r="Y9" s="4"/>
      <c r="Z9" s="4"/>
    </row>
    <row r="10">
      <c r="A10" s="15">
        <f t="shared" si="7"/>
        <v>46299</v>
      </c>
      <c r="B10" s="16" t="str">
        <f t="shared" si="3"/>
        <v>Sun</v>
      </c>
      <c r="C10" s="18"/>
      <c r="D10" s="18"/>
      <c r="E10" s="18"/>
      <c r="F10" s="18"/>
      <c r="G10" s="18" t="str">
        <f>IF(COUNTIF(Holidays!$A$2:$A$12,$A10)&gt;0, 8,"")</f>
        <v/>
      </c>
      <c r="H10" s="18"/>
      <c r="I10" s="18"/>
      <c r="J10" s="18"/>
      <c r="K10" s="18"/>
      <c r="L10" s="18"/>
      <c r="M10" s="16" t="str">
        <f t="shared" si="4"/>
        <v/>
      </c>
      <c r="N10" s="30" t="str">
        <f t="shared" si="5"/>
        <v/>
      </c>
      <c r="O10" s="4"/>
      <c r="P10" s="19"/>
      <c r="Q10" s="20"/>
      <c r="R10" s="21"/>
      <c r="S10" s="4"/>
      <c r="T10" s="4"/>
      <c r="U10" s="4"/>
      <c r="V10" s="4"/>
      <c r="W10" s="4"/>
      <c r="X10" s="4"/>
      <c r="Y10" s="4"/>
      <c r="Z10" s="4"/>
    </row>
    <row r="11">
      <c r="A11" s="15">
        <f t="shared" si="7"/>
        <v>46300</v>
      </c>
      <c r="B11" s="16" t="str">
        <f t="shared" si="3"/>
        <v>Mon</v>
      </c>
      <c r="C11" s="17">
        <v>8.0</v>
      </c>
      <c r="D11" s="17">
        <v>0.75</v>
      </c>
      <c r="E11" s="18"/>
      <c r="F11" s="18"/>
      <c r="G11" s="18" t="str">
        <f>IF(COUNTIF(Holidays!$A$2:$A$12,$A11)&gt;0, 8,"")</f>
        <v/>
      </c>
      <c r="H11" s="18"/>
      <c r="I11" s="18"/>
      <c r="J11" s="18"/>
      <c r="K11" s="18"/>
      <c r="L11" s="18"/>
      <c r="M11" s="16">
        <f t="shared" si="4"/>
        <v>8.75</v>
      </c>
      <c r="N11" s="27">
        <f t="shared" si="5"/>
        <v>8</v>
      </c>
      <c r="O11" s="4"/>
      <c r="P11" s="19">
        <v>0.3333333333333333</v>
      </c>
      <c r="Q11" s="20">
        <v>0.6666666666666666</v>
      </c>
      <c r="R11" s="21">
        <f t="shared" ref="R11:R15" si="8">(Q11-P11)*24</f>
        <v>8</v>
      </c>
      <c r="S11" s="4"/>
      <c r="T11" s="4"/>
      <c r="U11" s="4"/>
      <c r="V11" s="4"/>
      <c r="W11" s="4"/>
      <c r="X11" s="4"/>
      <c r="Y11" s="4"/>
      <c r="Z11" s="4"/>
    </row>
    <row r="12">
      <c r="A12" s="15">
        <f t="shared" si="7"/>
        <v>46301</v>
      </c>
      <c r="B12" s="16" t="str">
        <f t="shared" si="3"/>
        <v>Tue</v>
      </c>
      <c r="C12" s="17">
        <v>8.0</v>
      </c>
      <c r="D12" s="17">
        <v>0.5</v>
      </c>
      <c r="E12" s="18"/>
      <c r="F12" s="18"/>
      <c r="G12" s="18" t="str">
        <f>IF(COUNTIF(Holidays!$A$2:$A$12,$A12)&gt;0, 8,"")</f>
        <v/>
      </c>
      <c r="H12" s="18"/>
      <c r="I12" s="18"/>
      <c r="J12" s="18"/>
      <c r="K12" s="18"/>
      <c r="L12" s="18"/>
      <c r="M12" s="16">
        <f t="shared" si="4"/>
        <v>8.5</v>
      </c>
      <c r="N12" s="27">
        <f t="shared" si="5"/>
        <v>8</v>
      </c>
      <c r="O12" s="4"/>
      <c r="P12" s="19">
        <v>0.3333333333333333</v>
      </c>
      <c r="Q12" s="20">
        <v>0.6666666666666666</v>
      </c>
      <c r="R12" s="21">
        <f t="shared" si="8"/>
        <v>8</v>
      </c>
      <c r="S12" s="4"/>
      <c r="T12" s="4"/>
      <c r="U12" s="4"/>
      <c r="V12" s="4"/>
      <c r="W12" s="4"/>
      <c r="X12" s="4"/>
      <c r="Y12" s="4"/>
      <c r="Z12" s="4"/>
    </row>
    <row r="13">
      <c r="A13" s="15">
        <f t="shared" si="7"/>
        <v>46302</v>
      </c>
      <c r="B13" s="16" t="str">
        <f t="shared" si="3"/>
        <v>Wed</v>
      </c>
      <c r="C13" s="17">
        <v>8.0</v>
      </c>
      <c r="D13" s="17">
        <v>0.5</v>
      </c>
      <c r="E13" s="18"/>
      <c r="F13" s="18"/>
      <c r="G13" s="18" t="str">
        <f>IF(COUNTIF(Holidays!$A$2:$A$12,$A13)&gt;0, 8,"")</f>
        <v/>
      </c>
      <c r="H13" s="18"/>
      <c r="I13" s="18"/>
      <c r="J13" s="18"/>
      <c r="K13" s="18"/>
      <c r="L13" s="18"/>
      <c r="M13" s="16">
        <f t="shared" si="4"/>
        <v>8.5</v>
      </c>
      <c r="N13" s="27">
        <f t="shared" si="5"/>
        <v>8</v>
      </c>
      <c r="O13" s="4"/>
      <c r="P13" s="19">
        <v>0.3333333333333333</v>
      </c>
      <c r="Q13" s="20">
        <v>0.6666666666666666</v>
      </c>
      <c r="R13" s="21">
        <f t="shared" si="8"/>
        <v>8</v>
      </c>
      <c r="S13" s="4"/>
      <c r="T13" s="4"/>
      <c r="U13" s="4"/>
      <c r="V13" s="4"/>
      <c r="W13" s="4"/>
      <c r="X13" s="4"/>
      <c r="Y13" s="4"/>
      <c r="Z13" s="4"/>
    </row>
    <row r="14">
      <c r="A14" s="15">
        <f t="shared" si="7"/>
        <v>46303</v>
      </c>
      <c r="B14" s="16" t="str">
        <f t="shared" si="3"/>
        <v>Thu</v>
      </c>
      <c r="C14" s="17">
        <v>8.0</v>
      </c>
      <c r="D14" s="17">
        <v>0.5</v>
      </c>
      <c r="E14" s="18"/>
      <c r="F14" s="18"/>
      <c r="G14" s="18" t="str">
        <f>IF(COUNTIF(Holidays!$A$2:$A$12,$A14)&gt;0, 8,"")</f>
        <v/>
      </c>
      <c r="H14" s="18"/>
      <c r="I14" s="18"/>
      <c r="J14" s="18"/>
      <c r="K14" s="18"/>
      <c r="L14" s="18"/>
      <c r="M14" s="16">
        <f t="shared" si="4"/>
        <v>8.5</v>
      </c>
      <c r="N14" s="27">
        <f t="shared" si="5"/>
        <v>8</v>
      </c>
      <c r="O14" s="4"/>
      <c r="P14" s="19">
        <v>0.3333333333333333</v>
      </c>
      <c r="Q14" s="20">
        <v>0.6666666666666666</v>
      </c>
      <c r="R14" s="21">
        <f t="shared" si="8"/>
        <v>8</v>
      </c>
      <c r="S14" s="4"/>
      <c r="T14" s="4"/>
      <c r="U14" s="4"/>
      <c r="V14" s="4"/>
      <c r="W14" s="4"/>
      <c r="X14" s="4"/>
      <c r="Y14" s="4"/>
      <c r="Z14" s="4"/>
    </row>
    <row r="15">
      <c r="A15" s="15">
        <f t="shared" si="7"/>
        <v>46304</v>
      </c>
      <c r="B15" s="16" t="str">
        <f t="shared" si="3"/>
        <v>Fri</v>
      </c>
      <c r="C15" s="17">
        <v>8.0</v>
      </c>
      <c r="D15" s="17"/>
      <c r="E15" s="18"/>
      <c r="F15" s="18"/>
      <c r="G15" s="18" t="str">
        <f>IF(COUNTIF(Holidays!$A$2:$A$12,$A15)&gt;0, 8,"")</f>
        <v/>
      </c>
      <c r="H15" s="18"/>
      <c r="I15" s="18"/>
      <c r="J15" s="18"/>
      <c r="K15" s="18"/>
      <c r="L15" s="18"/>
      <c r="M15" s="16">
        <f t="shared" si="4"/>
        <v>8</v>
      </c>
      <c r="N15" s="27">
        <f t="shared" si="5"/>
        <v>8</v>
      </c>
      <c r="O15" s="4"/>
      <c r="P15" s="19">
        <v>0.3333333333333333</v>
      </c>
      <c r="Q15" s="20">
        <v>0.6666666666666666</v>
      </c>
      <c r="R15" s="21">
        <f t="shared" si="8"/>
        <v>8</v>
      </c>
      <c r="S15" s="4"/>
      <c r="T15" s="4"/>
      <c r="U15" s="4"/>
      <c r="V15" s="4"/>
      <c r="W15" s="4"/>
      <c r="X15" s="4"/>
      <c r="Y15" s="4"/>
      <c r="Z15" s="4"/>
    </row>
    <row r="16">
      <c r="A16" s="15">
        <f t="shared" si="7"/>
        <v>46305</v>
      </c>
      <c r="B16" s="16" t="str">
        <f t="shared" si="3"/>
        <v>Sat</v>
      </c>
      <c r="C16" s="18"/>
      <c r="D16" s="18"/>
      <c r="E16" s="18"/>
      <c r="F16" s="18"/>
      <c r="G16" s="18" t="str">
        <f>IF(COUNTIF(Holidays!$A$2:$A$12,$A16)&gt;0, 8,"")</f>
        <v/>
      </c>
      <c r="H16" s="18"/>
      <c r="I16" s="18"/>
      <c r="J16" s="18"/>
      <c r="K16" s="18"/>
      <c r="L16" s="18"/>
      <c r="M16" s="16" t="str">
        <f t="shared" si="4"/>
        <v/>
      </c>
      <c r="N16" s="30" t="str">
        <f t="shared" si="5"/>
        <v/>
      </c>
      <c r="O16" s="4"/>
      <c r="P16" s="19"/>
      <c r="Q16" s="20"/>
      <c r="R16" s="21"/>
      <c r="S16" s="4"/>
      <c r="T16" s="4"/>
      <c r="U16" s="4"/>
      <c r="V16" s="4"/>
      <c r="W16" s="4"/>
      <c r="X16" s="4"/>
      <c r="Y16" s="4"/>
      <c r="Z16" s="4"/>
    </row>
    <row r="17">
      <c r="A17" s="15">
        <f t="shared" si="7"/>
        <v>46306</v>
      </c>
      <c r="B17" s="16" t="str">
        <f t="shared" si="3"/>
        <v>Sun</v>
      </c>
      <c r="C17" s="18"/>
      <c r="D17" s="18"/>
      <c r="E17" s="18"/>
      <c r="F17" s="18"/>
      <c r="G17" s="18" t="str">
        <f>IF(COUNTIF(Holidays!$A$2:$A$12,$A17)&gt;0, 8,"")</f>
        <v/>
      </c>
      <c r="H17" s="18"/>
      <c r="I17" s="18"/>
      <c r="J17" s="18"/>
      <c r="K17" s="18"/>
      <c r="L17" s="18"/>
      <c r="M17" s="16" t="str">
        <f t="shared" si="4"/>
        <v/>
      </c>
      <c r="N17" s="30" t="str">
        <f t="shared" si="5"/>
        <v/>
      </c>
      <c r="O17" s="4"/>
      <c r="P17" s="19"/>
      <c r="Q17" s="20"/>
      <c r="R17" s="21"/>
      <c r="S17" s="4"/>
      <c r="T17" s="4"/>
      <c r="U17" s="4"/>
      <c r="V17" s="4"/>
      <c r="W17" s="4"/>
      <c r="X17" s="4"/>
      <c r="Y17" s="4"/>
      <c r="Z17" s="4"/>
    </row>
    <row r="18">
      <c r="A18" s="15">
        <f t="shared" si="7"/>
        <v>46307</v>
      </c>
      <c r="B18" s="16" t="str">
        <f t="shared" si="3"/>
        <v>Mon</v>
      </c>
      <c r="C18" s="17"/>
      <c r="D18" s="18"/>
      <c r="E18" s="18"/>
      <c r="F18" s="18"/>
      <c r="G18" s="18">
        <f>IF(COUNTIF(Holidays!$A$2:$A$12,$A18)&gt;0, 8,"")</f>
        <v>8</v>
      </c>
      <c r="H18" s="18"/>
      <c r="I18" s="18"/>
      <c r="J18" s="18"/>
      <c r="K18" s="18"/>
      <c r="L18" s="18"/>
      <c r="M18" s="16">
        <f t="shared" si="4"/>
        <v>8</v>
      </c>
      <c r="N18" s="27">
        <f t="shared" si="5"/>
        <v>8</v>
      </c>
      <c r="O18" s="4"/>
      <c r="P18" s="19">
        <v>0.3333333333333333</v>
      </c>
      <c r="Q18" s="20">
        <v>0.6666666666666666</v>
      </c>
      <c r="R18" s="21">
        <f t="shared" ref="R18:R21" si="9">(Q18-P18)*24</f>
        <v>8</v>
      </c>
      <c r="S18" s="4"/>
      <c r="T18" s="4"/>
      <c r="U18" s="4"/>
      <c r="V18" s="4"/>
      <c r="W18" s="4"/>
      <c r="X18" s="4"/>
      <c r="Y18" s="4"/>
      <c r="Z18" s="4"/>
    </row>
    <row r="19">
      <c r="A19" s="15">
        <f t="shared" si="7"/>
        <v>46308</v>
      </c>
      <c r="B19" s="16" t="str">
        <f t="shared" si="3"/>
        <v>Tue</v>
      </c>
      <c r="C19" s="17">
        <v>8.0</v>
      </c>
      <c r="D19" s="17"/>
      <c r="E19" s="18"/>
      <c r="F19" s="18"/>
      <c r="G19" s="18" t="str">
        <f>IF(COUNTIF(Holidays!$A$2:$A$12,$A19)&gt;0, 8,"")</f>
        <v/>
      </c>
      <c r="H19" s="18"/>
      <c r="I19" s="18"/>
      <c r="J19" s="17"/>
      <c r="K19" s="18"/>
      <c r="L19" s="18"/>
      <c r="M19" s="16">
        <f t="shared" si="4"/>
        <v>8</v>
      </c>
      <c r="N19" s="27">
        <f t="shared" si="5"/>
        <v>8</v>
      </c>
      <c r="O19" s="4"/>
      <c r="P19" s="19">
        <v>0.3333333333333333</v>
      </c>
      <c r="Q19" s="20">
        <v>0.6666666666666666</v>
      </c>
      <c r="R19" s="21">
        <f t="shared" si="9"/>
        <v>8</v>
      </c>
      <c r="S19" s="4"/>
      <c r="T19" s="4"/>
      <c r="U19" s="4"/>
      <c r="V19" s="4"/>
      <c r="W19" s="4"/>
      <c r="X19" s="4"/>
      <c r="Y19" s="4"/>
      <c r="Z19" s="4"/>
    </row>
    <row r="20">
      <c r="A20" s="15">
        <f t="shared" si="7"/>
        <v>46309</v>
      </c>
      <c r="B20" s="16" t="str">
        <f t="shared" si="3"/>
        <v>Wed</v>
      </c>
      <c r="C20" s="17">
        <v>8.0</v>
      </c>
      <c r="D20" s="17"/>
      <c r="E20" s="18"/>
      <c r="F20" s="18"/>
      <c r="G20" s="18" t="str">
        <f>IF(COUNTIF(Holidays!$A$2:$A$12,$A20)&gt;0, 8,"")</f>
        <v/>
      </c>
      <c r="H20" s="18"/>
      <c r="I20" s="18"/>
      <c r="J20" s="17"/>
      <c r="K20" s="18"/>
      <c r="L20" s="18"/>
      <c r="M20" s="16">
        <f t="shared" si="4"/>
        <v>8</v>
      </c>
      <c r="N20" s="27">
        <f t="shared" si="5"/>
        <v>8</v>
      </c>
      <c r="O20" s="4"/>
      <c r="P20" s="19">
        <v>0.3333333333333333</v>
      </c>
      <c r="Q20" s="20">
        <v>0.6666666666666666</v>
      </c>
      <c r="R20" s="21">
        <f t="shared" si="9"/>
        <v>8</v>
      </c>
      <c r="S20" s="4"/>
      <c r="T20" s="4"/>
      <c r="U20" s="4"/>
      <c r="V20" s="4"/>
      <c r="W20" s="4"/>
      <c r="X20" s="4"/>
      <c r="Y20" s="4"/>
      <c r="Z20" s="4"/>
    </row>
    <row r="21">
      <c r="A21" s="15">
        <f t="shared" si="7"/>
        <v>46310</v>
      </c>
      <c r="B21" s="16" t="str">
        <f t="shared" si="3"/>
        <v>Thu</v>
      </c>
      <c r="C21" s="17">
        <v>8.0</v>
      </c>
      <c r="D21" s="17"/>
      <c r="E21" s="18"/>
      <c r="F21" s="18"/>
      <c r="G21" s="18" t="str">
        <f>IF(COUNTIF(Holidays!$A$2:$A$12,$A21)&gt;0, 8,"")</f>
        <v/>
      </c>
      <c r="H21" s="18"/>
      <c r="I21" s="18"/>
      <c r="J21" s="17"/>
      <c r="K21" s="18"/>
      <c r="L21" s="18"/>
      <c r="M21" s="16">
        <f t="shared" si="4"/>
        <v>8</v>
      </c>
      <c r="N21" s="27">
        <f t="shared" si="5"/>
        <v>8</v>
      </c>
      <c r="O21" s="4"/>
      <c r="P21" s="19">
        <v>0.3333333333333333</v>
      </c>
      <c r="Q21" s="20">
        <v>0.6666666666666666</v>
      </c>
      <c r="R21" s="21">
        <f t="shared" si="9"/>
        <v>8</v>
      </c>
      <c r="S21" s="4"/>
      <c r="T21" s="4"/>
      <c r="U21" s="4"/>
      <c r="V21" s="4"/>
      <c r="W21" s="4"/>
      <c r="X21" s="4"/>
      <c r="Y21" s="4"/>
      <c r="Z21" s="4"/>
    </row>
    <row r="22">
      <c r="A22" s="2" t="s">
        <v>47</v>
      </c>
      <c r="C22" s="14">
        <f t="shared" ref="C22:N22" si="10">sum(C7:C21)</f>
        <v>80</v>
      </c>
      <c r="D22" s="14">
        <f t="shared" si="10"/>
        <v>2.75</v>
      </c>
      <c r="E22" s="14">
        <f t="shared" si="10"/>
        <v>0</v>
      </c>
      <c r="F22" s="14">
        <f t="shared" si="10"/>
        <v>0</v>
      </c>
      <c r="G22" s="14">
        <f t="shared" si="10"/>
        <v>8</v>
      </c>
      <c r="H22" s="14">
        <f t="shared" si="10"/>
        <v>0</v>
      </c>
      <c r="I22" s="14">
        <f t="shared" si="10"/>
        <v>0</v>
      </c>
      <c r="J22" s="14">
        <f t="shared" si="10"/>
        <v>0</v>
      </c>
      <c r="K22" s="14">
        <f t="shared" si="10"/>
        <v>0</v>
      </c>
      <c r="L22" s="14">
        <f t="shared" si="10"/>
        <v>0</v>
      </c>
      <c r="M22" s="14">
        <f t="shared" si="10"/>
        <v>90.75</v>
      </c>
      <c r="N22" s="26">
        <f t="shared" si="10"/>
        <v>88</v>
      </c>
      <c r="O22" s="4"/>
      <c r="P22" s="4"/>
      <c r="Q22" s="4"/>
      <c r="R22" s="24">
        <f>sum(R7:R21)</f>
        <v>88</v>
      </c>
      <c r="S22" s="4"/>
      <c r="T22" s="4"/>
      <c r="U22" s="4"/>
      <c r="V22" s="4"/>
      <c r="W22" s="4"/>
      <c r="X22" s="4"/>
      <c r="Y22" s="4"/>
      <c r="Z22" s="4"/>
    </row>
    <row r="23">
      <c r="A23" s="4"/>
      <c r="B23" s="4"/>
      <c r="C23" s="4"/>
      <c r="D23" s="4"/>
      <c r="E23" s="4"/>
      <c r="F23" s="4"/>
      <c r="G23" s="4"/>
      <c r="H23" s="4"/>
      <c r="I23" s="4"/>
      <c r="J23" s="4"/>
      <c r="K23" s="4"/>
      <c r="L23" s="4"/>
      <c r="M23" s="4"/>
      <c r="N23" s="31"/>
      <c r="O23" s="4"/>
      <c r="P23" s="4"/>
      <c r="Q23" s="4"/>
      <c r="R23" s="4"/>
      <c r="S23" s="4"/>
      <c r="T23" s="4"/>
      <c r="U23" s="4"/>
      <c r="V23" s="4"/>
      <c r="W23" s="4"/>
      <c r="X23" s="4"/>
      <c r="Y23" s="4"/>
      <c r="Z23" s="4"/>
    </row>
    <row r="24">
      <c r="A24" s="4"/>
      <c r="B24" s="4"/>
      <c r="C24" s="4"/>
      <c r="D24" s="4"/>
      <c r="E24" s="4"/>
      <c r="F24" s="4"/>
      <c r="G24" s="4"/>
      <c r="H24" s="4"/>
      <c r="I24" s="4"/>
      <c r="J24" s="4"/>
      <c r="K24" s="4"/>
      <c r="L24" s="4"/>
      <c r="M24" s="4"/>
      <c r="N24" s="31"/>
      <c r="O24" s="4"/>
      <c r="P24" s="4"/>
      <c r="Q24" s="4"/>
      <c r="R24" s="4"/>
      <c r="S24" s="4"/>
      <c r="T24" s="4"/>
      <c r="U24" s="4"/>
      <c r="V24" s="4"/>
      <c r="W24" s="4"/>
      <c r="X24" s="4"/>
      <c r="Y24" s="4"/>
      <c r="Z24" s="4"/>
    </row>
    <row r="25">
      <c r="A25" s="2" t="s">
        <v>49</v>
      </c>
      <c r="B25" s="2" t="s">
        <v>30</v>
      </c>
      <c r="C25" s="14" t="str">
        <f t="array" ref="C25:L25">transpose('Time Types'!A2:A11)</f>
        <v>Regular</v>
      </c>
      <c r="D25" s="14" t="s">
        <v>31</v>
      </c>
      <c r="E25" s="14" t="s">
        <v>32</v>
      </c>
      <c r="F25" s="14" t="s">
        <v>12</v>
      </c>
      <c r="G25" s="14" t="s">
        <v>33</v>
      </c>
      <c r="H25" s="14" t="s">
        <v>34</v>
      </c>
      <c r="I25" s="14" t="s">
        <v>14</v>
      </c>
      <c r="J25" s="14" t="s">
        <v>16</v>
      </c>
      <c r="K25" s="14" t="s">
        <v>35</v>
      </c>
      <c r="L25" s="14" t="s">
        <v>36</v>
      </c>
      <c r="M25" s="2" t="s">
        <v>37</v>
      </c>
      <c r="N25" s="26" t="s">
        <v>38</v>
      </c>
      <c r="O25" s="4"/>
      <c r="P25" s="20"/>
      <c r="Q25" s="19"/>
      <c r="R25" s="21"/>
      <c r="S25" s="4"/>
      <c r="T25" s="4"/>
      <c r="U25" s="4"/>
      <c r="V25" s="4"/>
      <c r="W25" s="4"/>
      <c r="X25" s="4"/>
      <c r="Y25" s="4"/>
      <c r="Z25" s="4"/>
    </row>
    <row r="26">
      <c r="A26" s="15">
        <f>A21+1</f>
        <v>46311</v>
      </c>
      <c r="B26" s="16" t="str">
        <f t="shared" ref="B26:B41" si="11">text(A26,"ddd")</f>
        <v>Fri</v>
      </c>
      <c r="C26" s="17">
        <v>8.0</v>
      </c>
      <c r="D26" s="17"/>
      <c r="E26" s="18"/>
      <c r="F26" s="18"/>
      <c r="G26" s="18" t="str">
        <f>IF(COUNTIF(Holidays!$A$2:$A$12,$A26)&gt;0, 8,"")</f>
        <v/>
      </c>
      <c r="H26" s="18"/>
      <c r="I26" s="18"/>
      <c r="J26" s="17"/>
      <c r="K26" s="18"/>
      <c r="L26" s="18"/>
      <c r="M26" s="16">
        <f t="shared" ref="M26:M41" si="12">IF(OR(B26="Sat", B26="Sun"), "", sum(C26:J26))</f>
        <v>8</v>
      </c>
      <c r="N26" s="27">
        <f t="shared" ref="N26:N41" si="13">IF(OR(B26="Sat", B26="Sun"), "", 8)</f>
        <v>8</v>
      </c>
      <c r="O26" s="4"/>
      <c r="P26" s="19">
        <v>0.3333333333333333</v>
      </c>
      <c r="Q26" s="20">
        <v>0.6666666666666666</v>
      </c>
      <c r="R26" s="21">
        <f>(Q26-P26)*24</f>
        <v>8</v>
      </c>
      <c r="S26" s="4"/>
      <c r="T26" s="4"/>
      <c r="U26" s="4"/>
      <c r="V26" s="4"/>
      <c r="W26" s="4"/>
      <c r="X26" s="4"/>
      <c r="Y26" s="4"/>
      <c r="Z26" s="4"/>
    </row>
    <row r="27">
      <c r="A27" s="15">
        <f t="shared" ref="A27:A41" si="14">A26+1</f>
        <v>46312</v>
      </c>
      <c r="B27" s="16" t="str">
        <f t="shared" si="11"/>
        <v>Sat</v>
      </c>
      <c r="C27" s="18"/>
      <c r="D27" s="18"/>
      <c r="E27" s="18"/>
      <c r="F27" s="18"/>
      <c r="G27" s="18" t="str">
        <f>IF(COUNTIF(Holidays!$A$2:$A$12,$A27)&gt;0, 8,"")</f>
        <v/>
      </c>
      <c r="H27" s="18"/>
      <c r="I27" s="18"/>
      <c r="J27" s="18"/>
      <c r="K27" s="18"/>
      <c r="L27" s="18"/>
      <c r="M27" s="16" t="str">
        <f t="shared" si="12"/>
        <v/>
      </c>
      <c r="N27" s="30" t="str">
        <f t="shared" si="13"/>
        <v/>
      </c>
      <c r="O27" s="4"/>
      <c r="P27" s="19"/>
      <c r="Q27" s="20"/>
      <c r="R27" s="21"/>
      <c r="S27" s="4"/>
      <c r="T27" s="4"/>
      <c r="U27" s="4"/>
      <c r="V27" s="4"/>
      <c r="W27" s="4"/>
      <c r="X27" s="4"/>
      <c r="Y27" s="4"/>
      <c r="Z27" s="4"/>
    </row>
    <row r="28">
      <c r="A28" s="15">
        <f t="shared" si="14"/>
        <v>46313</v>
      </c>
      <c r="B28" s="16" t="str">
        <f t="shared" si="11"/>
        <v>Sun</v>
      </c>
      <c r="C28" s="18"/>
      <c r="D28" s="18"/>
      <c r="E28" s="18"/>
      <c r="F28" s="18"/>
      <c r="G28" s="18" t="str">
        <f>IF(COUNTIF(Holidays!$A$2:$A$12,$A28)&gt;0, 8,"")</f>
        <v/>
      </c>
      <c r="H28" s="18"/>
      <c r="I28" s="18"/>
      <c r="J28" s="18"/>
      <c r="K28" s="18"/>
      <c r="L28" s="18"/>
      <c r="M28" s="16" t="str">
        <f t="shared" si="12"/>
        <v/>
      </c>
      <c r="N28" s="30" t="str">
        <f t="shared" si="13"/>
        <v/>
      </c>
      <c r="O28" s="4"/>
      <c r="P28" s="19"/>
      <c r="Q28" s="20"/>
      <c r="R28" s="21"/>
      <c r="S28" s="4"/>
      <c r="T28" s="4"/>
      <c r="U28" s="4"/>
      <c r="V28" s="4"/>
      <c r="W28" s="4"/>
      <c r="X28" s="4"/>
      <c r="Y28" s="4"/>
      <c r="Z28" s="4"/>
    </row>
    <row r="29">
      <c r="A29" s="15">
        <f t="shared" si="14"/>
        <v>46314</v>
      </c>
      <c r="B29" s="16" t="str">
        <f t="shared" si="11"/>
        <v>Mon</v>
      </c>
      <c r="C29" s="17">
        <v>8.0</v>
      </c>
      <c r="D29" s="17"/>
      <c r="E29" s="18"/>
      <c r="F29" s="18"/>
      <c r="G29" s="18" t="str">
        <f>IF(COUNTIF(Holidays!$A$2:$A$12,$A29)&gt;0, 8,"")</f>
        <v/>
      </c>
      <c r="H29" s="18"/>
      <c r="I29" s="18"/>
      <c r="J29" s="17"/>
      <c r="K29" s="18"/>
      <c r="L29" s="18"/>
      <c r="M29" s="16">
        <f t="shared" si="12"/>
        <v>8</v>
      </c>
      <c r="N29" s="27">
        <f t="shared" si="13"/>
        <v>8</v>
      </c>
      <c r="O29" s="4"/>
      <c r="P29" s="19">
        <v>0.3333333333333333</v>
      </c>
      <c r="Q29" s="20">
        <v>0.6666666666666666</v>
      </c>
      <c r="R29" s="21">
        <f t="shared" ref="R29:R33" si="15">(Q29-P29)*24</f>
        <v>8</v>
      </c>
      <c r="S29" s="4"/>
      <c r="T29" s="4"/>
      <c r="U29" s="4"/>
      <c r="V29" s="4"/>
      <c r="W29" s="4"/>
      <c r="X29" s="4"/>
      <c r="Y29" s="4"/>
      <c r="Z29" s="4"/>
    </row>
    <row r="30">
      <c r="A30" s="15">
        <f t="shared" si="14"/>
        <v>46315</v>
      </c>
      <c r="B30" s="16" t="str">
        <f t="shared" si="11"/>
        <v>Tue</v>
      </c>
      <c r="C30" s="17">
        <v>8.0</v>
      </c>
      <c r="D30" s="17"/>
      <c r="E30" s="18"/>
      <c r="F30" s="17"/>
      <c r="G30" s="18" t="str">
        <f>IF(COUNTIF(Holidays!$A$2:$A$12,$A30)&gt;0, 8,"")</f>
        <v/>
      </c>
      <c r="H30" s="18"/>
      <c r="I30" s="18"/>
      <c r="J30" s="18"/>
      <c r="K30" s="18"/>
      <c r="L30" s="18"/>
      <c r="M30" s="16">
        <f t="shared" si="12"/>
        <v>8</v>
      </c>
      <c r="N30" s="27">
        <f t="shared" si="13"/>
        <v>8</v>
      </c>
      <c r="O30" s="4"/>
      <c r="P30" s="19">
        <v>0.3333333333333333</v>
      </c>
      <c r="Q30" s="20">
        <v>0.6666666666666666</v>
      </c>
      <c r="R30" s="21">
        <f t="shared" si="15"/>
        <v>8</v>
      </c>
      <c r="S30" s="4"/>
      <c r="T30" s="4"/>
      <c r="U30" s="4"/>
      <c r="V30" s="4"/>
      <c r="W30" s="4"/>
      <c r="X30" s="4"/>
      <c r="Y30" s="4"/>
      <c r="Z30" s="4"/>
    </row>
    <row r="31">
      <c r="A31" s="15">
        <f t="shared" si="14"/>
        <v>46316</v>
      </c>
      <c r="B31" s="16" t="str">
        <f t="shared" si="11"/>
        <v>Wed</v>
      </c>
      <c r="C31" s="17">
        <v>8.0</v>
      </c>
      <c r="D31" s="17"/>
      <c r="E31" s="18"/>
      <c r="F31" s="17"/>
      <c r="G31" s="18" t="str">
        <f>IF(COUNTIF(Holidays!$A$2:$A$12,$A31)&gt;0, 8,"")</f>
        <v/>
      </c>
      <c r="H31" s="18"/>
      <c r="I31" s="18"/>
      <c r="J31" s="18"/>
      <c r="K31" s="18"/>
      <c r="L31" s="18"/>
      <c r="M31" s="16">
        <f t="shared" si="12"/>
        <v>8</v>
      </c>
      <c r="N31" s="27">
        <f t="shared" si="13"/>
        <v>8</v>
      </c>
      <c r="O31" s="4"/>
      <c r="P31" s="19">
        <v>0.3333333333333333</v>
      </c>
      <c r="Q31" s="20">
        <v>0.6666666666666666</v>
      </c>
      <c r="R31" s="21">
        <f t="shared" si="15"/>
        <v>8</v>
      </c>
      <c r="S31" s="4"/>
      <c r="T31" s="4"/>
      <c r="U31" s="4"/>
      <c r="V31" s="4"/>
      <c r="W31" s="4"/>
      <c r="X31" s="4"/>
      <c r="Y31" s="4"/>
      <c r="Z31" s="4"/>
    </row>
    <row r="32">
      <c r="A32" s="15">
        <f t="shared" si="14"/>
        <v>46317</v>
      </c>
      <c r="B32" s="16" t="str">
        <f t="shared" si="11"/>
        <v>Thu</v>
      </c>
      <c r="C32" s="17">
        <v>8.0</v>
      </c>
      <c r="D32" s="17"/>
      <c r="E32" s="18"/>
      <c r="F32" s="17"/>
      <c r="G32" s="18" t="str">
        <f>IF(COUNTIF(Holidays!$A$2:$A$12,$A32)&gt;0, 8,"")</f>
        <v/>
      </c>
      <c r="H32" s="18"/>
      <c r="I32" s="18"/>
      <c r="J32" s="18"/>
      <c r="K32" s="18"/>
      <c r="L32" s="18"/>
      <c r="M32" s="16">
        <f t="shared" si="12"/>
        <v>8</v>
      </c>
      <c r="N32" s="27">
        <f t="shared" si="13"/>
        <v>8</v>
      </c>
      <c r="O32" s="4"/>
      <c r="P32" s="19">
        <v>0.3333333333333333</v>
      </c>
      <c r="Q32" s="20">
        <v>0.6666666666666666</v>
      </c>
      <c r="R32" s="21">
        <f t="shared" si="15"/>
        <v>8</v>
      </c>
      <c r="S32" s="4"/>
      <c r="T32" s="4"/>
      <c r="U32" s="4"/>
      <c r="V32" s="4"/>
      <c r="W32" s="4"/>
      <c r="X32" s="4"/>
      <c r="Y32" s="4"/>
      <c r="Z32" s="4"/>
    </row>
    <row r="33">
      <c r="A33" s="15">
        <f t="shared" si="14"/>
        <v>46318</v>
      </c>
      <c r="B33" s="16" t="str">
        <f t="shared" si="11"/>
        <v>Fri</v>
      </c>
      <c r="C33" s="17">
        <v>8.0</v>
      </c>
      <c r="D33" s="17"/>
      <c r="E33" s="18"/>
      <c r="F33" s="17"/>
      <c r="G33" s="18" t="str">
        <f>IF(COUNTIF(Holidays!$A$2:$A$12,$A33)&gt;0, 8,"")</f>
        <v/>
      </c>
      <c r="H33" s="18"/>
      <c r="I33" s="18"/>
      <c r="J33" s="18"/>
      <c r="K33" s="18"/>
      <c r="L33" s="18"/>
      <c r="M33" s="16">
        <f t="shared" si="12"/>
        <v>8</v>
      </c>
      <c r="N33" s="27">
        <f t="shared" si="13"/>
        <v>8</v>
      </c>
      <c r="O33" s="4"/>
      <c r="P33" s="19">
        <v>0.3333333333333333</v>
      </c>
      <c r="Q33" s="20">
        <v>0.6666666666666666</v>
      </c>
      <c r="R33" s="21">
        <f t="shared" si="15"/>
        <v>8</v>
      </c>
      <c r="S33" s="4"/>
      <c r="T33" s="4"/>
      <c r="U33" s="4"/>
      <c r="V33" s="4"/>
      <c r="W33" s="4"/>
      <c r="X33" s="4"/>
      <c r="Y33" s="4"/>
      <c r="Z33" s="4"/>
    </row>
    <row r="34">
      <c r="A34" s="15">
        <f t="shared" si="14"/>
        <v>46319</v>
      </c>
      <c r="B34" s="16" t="str">
        <f t="shared" si="11"/>
        <v>Sat</v>
      </c>
      <c r="C34" s="18"/>
      <c r="D34" s="18"/>
      <c r="E34" s="18"/>
      <c r="F34" s="18"/>
      <c r="G34" s="18" t="str">
        <f>IF(COUNTIF(Holidays!$A$2:$A$12,$A34)&gt;0, 8,"")</f>
        <v/>
      </c>
      <c r="H34" s="18"/>
      <c r="I34" s="18"/>
      <c r="J34" s="18"/>
      <c r="K34" s="18"/>
      <c r="L34" s="18"/>
      <c r="M34" s="16" t="str">
        <f t="shared" si="12"/>
        <v/>
      </c>
      <c r="N34" s="30" t="str">
        <f t="shared" si="13"/>
        <v/>
      </c>
      <c r="O34" s="4"/>
      <c r="P34" s="19"/>
      <c r="Q34" s="20"/>
      <c r="R34" s="21"/>
      <c r="S34" s="4"/>
      <c r="T34" s="4"/>
      <c r="U34" s="4"/>
      <c r="V34" s="4"/>
      <c r="W34" s="4"/>
      <c r="X34" s="4"/>
      <c r="Y34" s="4"/>
      <c r="Z34" s="4"/>
    </row>
    <row r="35">
      <c r="A35" s="15">
        <f t="shared" si="14"/>
        <v>46320</v>
      </c>
      <c r="B35" s="16" t="str">
        <f t="shared" si="11"/>
        <v>Sun</v>
      </c>
      <c r="C35" s="18"/>
      <c r="D35" s="18"/>
      <c r="E35" s="18"/>
      <c r="F35" s="18"/>
      <c r="G35" s="18" t="str">
        <f>IF(COUNTIF(Holidays!$A$2:$A$12,$A35)&gt;0, 8,"")</f>
        <v/>
      </c>
      <c r="H35" s="18"/>
      <c r="I35" s="18"/>
      <c r="J35" s="18"/>
      <c r="K35" s="18"/>
      <c r="L35" s="18"/>
      <c r="M35" s="16" t="str">
        <f t="shared" si="12"/>
        <v/>
      </c>
      <c r="N35" s="30" t="str">
        <f t="shared" si="13"/>
        <v/>
      </c>
      <c r="O35" s="4"/>
      <c r="P35" s="19"/>
      <c r="Q35" s="20"/>
      <c r="R35" s="21"/>
      <c r="S35" s="4"/>
      <c r="T35" s="4"/>
      <c r="U35" s="4"/>
      <c r="V35" s="4"/>
      <c r="W35" s="4"/>
      <c r="X35" s="4"/>
      <c r="Y35" s="4"/>
      <c r="Z35" s="4"/>
    </row>
    <row r="36">
      <c r="A36" s="15">
        <f t="shared" si="14"/>
        <v>46321</v>
      </c>
      <c r="B36" s="16" t="str">
        <f t="shared" si="11"/>
        <v>Mon</v>
      </c>
      <c r="C36" s="17">
        <v>8.0</v>
      </c>
      <c r="D36" s="17"/>
      <c r="E36" s="18"/>
      <c r="F36" s="17"/>
      <c r="G36" s="18" t="str">
        <f>IF(COUNTIF(Holidays!$A$2:$A$12,$A36)&gt;0, 8,"")</f>
        <v/>
      </c>
      <c r="H36" s="18"/>
      <c r="I36" s="18"/>
      <c r="J36" s="18"/>
      <c r="K36" s="18"/>
      <c r="L36" s="18"/>
      <c r="M36" s="16">
        <f t="shared" si="12"/>
        <v>8</v>
      </c>
      <c r="N36" s="27">
        <f t="shared" si="13"/>
        <v>8</v>
      </c>
      <c r="O36" s="4"/>
      <c r="P36" s="19">
        <v>0.3333333333333333</v>
      </c>
      <c r="Q36" s="20">
        <v>0.6666666666666666</v>
      </c>
      <c r="R36" s="21">
        <f t="shared" ref="R36:R40" si="16">(Q36-P36)*24</f>
        <v>8</v>
      </c>
      <c r="S36" s="4"/>
      <c r="T36" s="4"/>
      <c r="U36" s="4"/>
      <c r="V36" s="4"/>
      <c r="W36" s="4"/>
      <c r="X36" s="4"/>
      <c r="Y36" s="4"/>
      <c r="Z36" s="4"/>
    </row>
    <row r="37">
      <c r="A37" s="15">
        <f t="shared" si="14"/>
        <v>46322</v>
      </c>
      <c r="B37" s="16" t="str">
        <f t="shared" si="11"/>
        <v>Tue</v>
      </c>
      <c r="C37" s="17">
        <v>8.0</v>
      </c>
      <c r="D37" s="17"/>
      <c r="E37" s="18"/>
      <c r="F37" s="17"/>
      <c r="G37" s="18" t="str">
        <f>IF(COUNTIF(Holidays!$A$2:$A$12,$A37)&gt;0, 8,"")</f>
        <v/>
      </c>
      <c r="H37" s="18"/>
      <c r="I37" s="18"/>
      <c r="J37" s="18"/>
      <c r="K37" s="18"/>
      <c r="L37" s="18"/>
      <c r="M37" s="16">
        <f t="shared" si="12"/>
        <v>8</v>
      </c>
      <c r="N37" s="27">
        <f t="shared" si="13"/>
        <v>8</v>
      </c>
      <c r="O37" s="4"/>
      <c r="P37" s="19">
        <v>0.3333333333333333</v>
      </c>
      <c r="Q37" s="20">
        <v>0.6666666666666666</v>
      </c>
      <c r="R37" s="21">
        <f t="shared" si="16"/>
        <v>8</v>
      </c>
      <c r="S37" s="4"/>
      <c r="T37" s="4"/>
      <c r="U37" s="4"/>
      <c r="V37" s="4"/>
      <c r="W37" s="4"/>
      <c r="X37" s="4"/>
      <c r="Y37" s="4"/>
      <c r="Z37" s="4"/>
    </row>
    <row r="38">
      <c r="A38" s="15">
        <f t="shared" si="14"/>
        <v>46323</v>
      </c>
      <c r="B38" s="16" t="str">
        <f t="shared" si="11"/>
        <v>Wed</v>
      </c>
      <c r="C38" s="17">
        <v>8.0</v>
      </c>
      <c r="D38" s="17"/>
      <c r="E38" s="18"/>
      <c r="F38" s="17"/>
      <c r="G38" s="18" t="str">
        <f>IF(COUNTIF(Holidays!$A$2:$A$12,$A38)&gt;0, 8,"")</f>
        <v/>
      </c>
      <c r="H38" s="18"/>
      <c r="I38" s="18"/>
      <c r="J38" s="18"/>
      <c r="K38" s="18"/>
      <c r="L38" s="18"/>
      <c r="M38" s="16">
        <f t="shared" si="12"/>
        <v>8</v>
      </c>
      <c r="N38" s="27">
        <f t="shared" si="13"/>
        <v>8</v>
      </c>
      <c r="O38" s="4"/>
      <c r="P38" s="19">
        <v>0.3333333333333333</v>
      </c>
      <c r="Q38" s="20">
        <v>0.6666666666666666</v>
      </c>
      <c r="R38" s="21">
        <f t="shared" si="16"/>
        <v>8</v>
      </c>
      <c r="S38" s="4"/>
      <c r="T38" s="4"/>
      <c r="U38" s="4"/>
      <c r="V38" s="4"/>
      <c r="W38" s="4"/>
      <c r="X38" s="4"/>
      <c r="Y38" s="4"/>
      <c r="Z38" s="4"/>
    </row>
    <row r="39">
      <c r="A39" s="15">
        <f t="shared" si="14"/>
        <v>46324</v>
      </c>
      <c r="B39" s="16" t="str">
        <f t="shared" si="11"/>
        <v>Thu</v>
      </c>
      <c r="C39" s="17">
        <v>8.0</v>
      </c>
      <c r="D39" s="17"/>
      <c r="E39" s="17"/>
      <c r="F39" s="17"/>
      <c r="G39" s="18" t="str">
        <f>IF(COUNTIF(Holidays!$A$2:$A$12,$A39)&gt;0, 8,"")</f>
        <v/>
      </c>
      <c r="H39" s="18"/>
      <c r="I39" s="18"/>
      <c r="J39" s="18"/>
      <c r="K39" s="18"/>
      <c r="L39" s="18"/>
      <c r="M39" s="16">
        <f t="shared" si="12"/>
        <v>8</v>
      </c>
      <c r="N39" s="27">
        <f t="shared" si="13"/>
        <v>8</v>
      </c>
      <c r="O39" s="4"/>
      <c r="P39" s="19">
        <v>0.3333333333333333</v>
      </c>
      <c r="Q39" s="20">
        <v>0.6666666666666666</v>
      </c>
      <c r="R39" s="21">
        <f t="shared" si="16"/>
        <v>8</v>
      </c>
      <c r="S39" s="4"/>
      <c r="T39" s="4"/>
      <c r="U39" s="4"/>
      <c r="V39" s="4"/>
      <c r="W39" s="4"/>
      <c r="X39" s="4"/>
      <c r="Y39" s="4"/>
      <c r="Z39" s="4"/>
    </row>
    <row r="40">
      <c r="A40" s="15">
        <f t="shared" si="14"/>
        <v>46325</v>
      </c>
      <c r="B40" s="16" t="str">
        <f t="shared" si="11"/>
        <v>Fri</v>
      </c>
      <c r="C40" s="17">
        <v>8.0</v>
      </c>
      <c r="D40" s="17"/>
      <c r="E40" s="17"/>
      <c r="F40" s="17"/>
      <c r="G40" s="18" t="str">
        <f>IF(COUNTIF(Holidays!$A$2:$A$12,$A40)&gt;0, 8,"")</f>
        <v/>
      </c>
      <c r="H40" s="18"/>
      <c r="I40" s="18"/>
      <c r="J40" s="18"/>
      <c r="K40" s="18"/>
      <c r="L40" s="18"/>
      <c r="M40" s="16">
        <f t="shared" si="12"/>
        <v>8</v>
      </c>
      <c r="N40" s="27">
        <f t="shared" si="13"/>
        <v>8</v>
      </c>
      <c r="O40" s="4"/>
      <c r="P40" s="19">
        <v>0.3333333333333333</v>
      </c>
      <c r="Q40" s="20">
        <v>0.6666666666666666</v>
      </c>
      <c r="R40" s="21">
        <f t="shared" si="16"/>
        <v>8</v>
      </c>
      <c r="S40" s="4"/>
      <c r="T40" s="4"/>
      <c r="U40" s="4"/>
      <c r="V40" s="4"/>
      <c r="W40" s="4"/>
      <c r="X40" s="4"/>
      <c r="Y40" s="4"/>
      <c r="Z40" s="4"/>
    </row>
    <row r="41">
      <c r="A41" s="15">
        <f t="shared" si="14"/>
        <v>46326</v>
      </c>
      <c r="B41" s="16" t="str">
        <f t="shared" si="11"/>
        <v>Sat</v>
      </c>
      <c r="C41" s="18"/>
      <c r="D41" s="18"/>
      <c r="E41" s="18"/>
      <c r="F41" s="18"/>
      <c r="G41" s="18" t="str">
        <f>IF(COUNTIF(Holidays!$A$2:$A$12,$A41)&gt;0, 8,"")</f>
        <v/>
      </c>
      <c r="H41" s="18"/>
      <c r="I41" s="18"/>
      <c r="J41" s="18"/>
      <c r="K41" s="18"/>
      <c r="L41" s="18"/>
      <c r="M41" s="16" t="str">
        <f t="shared" si="12"/>
        <v/>
      </c>
      <c r="N41" s="30" t="str">
        <f t="shared" si="13"/>
        <v/>
      </c>
      <c r="O41" s="4"/>
      <c r="P41" s="19"/>
      <c r="Q41" s="20"/>
      <c r="R41" s="21"/>
      <c r="S41" s="4"/>
      <c r="T41" s="4"/>
      <c r="U41" s="4"/>
      <c r="V41" s="4"/>
      <c r="W41" s="4"/>
      <c r="X41" s="4"/>
      <c r="Y41" s="4"/>
      <c r="Z41" s="4"/>
    </row>
    <row r="42">
      <c r="A42" s="2" t="s">
        <v>47</v>
      </c>
      <c r="C42" s="14">
        <f t="shared" ref="C42:N42" si="17">sum(C26:C41)</f>
        <v>88</v>
      </c>
      <c r="D42" s="14">
        <f t="shared" si="17"/>
        <v>0</v>
      </c>
      <c r="E42" s="14">
        <f t="shared" si="17"/>
        <v>0</v>
      </c>
      <c r="F42" s="14">
        <f t="shared" si="17"/>
        <v>0</v>
      </c>
      <c r="G42" s="14">
        <f t="shared" si="17"/>
        <v>0</v>
      </c>
      <c r="H42" s="14">
        <f t="shared" si="17"/>
        <v>0</v>
      </c>
      <c r="I42" s="14">
        <f t="shared" si="17"/>
        <v>0</v>
      </c>
      <c r="J42" s="14">
        <f t="shared" si="17"/>
        <v>0</v>
      </c>
      <c r="K42" s="14">
        <f t="shared" si="17"/>
        <v>0</v>
      </c>
      <c r="L42" s="14">
        <f t="shared" si="17"/>
        <v>0</v>
      </c>
      <c r="M42" s="14">
        <f t="shared" si="17"/>
        <v>88</v>
      </c>
      <c r="N42" s="26">
        <f t="shared" si="17"/>
        <v>88</v>
      </c>
      <c r="O42" s="4"/>
      <c r="P42" s="4"/>
      <c r="Q42" s="4"/>
      <c r="R42" s="24">
        <f>sum(R25:R41)</f>
        <v>88</v>
      </c>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4">
    <mergeCell ref="M2:N2"/>
    <mergeCell ref="P2:Q2"/>
    <mergeCell ref="A22:B22"/>
    <mergeCell ref="A42:B42"/>
  </mergeCells>
  <conditionalFormatting sqref="C7:L21 C26:L41">
    <cfRule type="expression" dxfId="0" priority="1">
      <formula>OR($B7="Sat", $B7="Sun")</formula>
    </cfRule>
  </conditionalFormatting>
  <conditionalFormatting sqref="C7:L21 C26:L41">
    <cfRule type="notContainsBlanks" dxfId="1" priority="2">
      <formula>LEN(TRIM(C7))&gt;0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s>
  <sheetData>
    <row r="1">
      <c r="A1" s="2" t="s">
        <v>65</v>
      </c>
      <c r="B1" s="2" t="s">
        <v>4</v>
      </c>
      <c r="C1" s="2" t="s">
        <v>6</v>
      </c>
      <c r="D1" s="2" t="s">
        <v>7</v>
      </c>
      <c r="E1" s="2" t="s">
        <v>9</v>
      </c>
      <c r="F1" s="4"/>
      <c r="I1" s="4"/>
      <c r="J1" s="4"/>
      <c r="K1" s="4"/>
      <c r="L1" s="4"/>
      <c r="M1" s="4"/>
      <c r="N1" s="4"/>
      <c r="O1" s="4"/>
      <c r="P1" s="4"/>
      <c r="Q1" s="4"/>
      <c r="R1" s="4"/>
      <c r="S1" s="4"/>
      <c r="T1" s="4"/>
      <c r="U1" s="4"/>
      <c r="V1" s="4"/>
      <c r="W1" s="4"/>
      <c r="X1" s="4"/>
      <c r="Y1" s="4"/>
      <c r="Z1" s="4"/>
    </row>
    <row r="2">
      <c r="A2" s="8" t="s">
        <v>13</v>
      </c>
      <c r="B2" s="12">
        <f t="array" ref="B2">INDIRECT(TEXT(EDATE(DATE(2026, MATCH($A$1, {"January","February","March","April","May","June","July","August","September","October","November","December"}, 0), 1), -1), "mmm") &amp; " 26!B4")</f>
        <v>92.5</v>
      </c>
      <c r="C2" s="12">
        <f t="array" ref="C2">INDIRECT(TEXT(EDATE(DATE(2026, MATCH($A$1, {"January","February","March","April","May","June","July","August","September","October","November","December"}, 0), 1), -1), "mmm") &amp; " 26!C4")</f>
        <v>16.25</v>
      </c>
      <c r="D2" s="12">
        <f t="array" ref="D2">INDIRECT(TEXT(EDATE(DATE(2026, MATCH($A$1, {"January","February","March","April","May","June","July","August","September","October","November","December"}, 0), 1), -1), "mmm") &amp; " 26!D4")</f>
        <v>8</v>
      </c>
      <c r="E2" s="12">
        <f t="array" ref="E2">INDIRECT(TEXT(EDATE(DATE(2026, MATCH($A$1, {"January","February","March","April","May","June","July","August","September","October","November","December"}, 0), 1), -1), "mmm") &amp; " 26!E4")</f>
        <v>40</v>
      </c>
      <c r="F2" s="4"/>
      <c r="G2" s="2" t="s">
        <v>8</v>
      </c>
      <c r="H2" s="12">
        <f>'START HERE'!B6</f>
        <v>5</v>
      </c>
      <c r="I2" s="4"/>
      <c r="J2" s="4"/>
      <c r="K2" s="4"/>
      <c r="L2" s="4"/>
      <c r="M2" s="13"/>
      <c r="O2" s="4"/>
      <c r="P2" s="13"/>
      <c r="R2" s="4"/>
      <c r="S2" s="4"/>
      <c r="T2" s="4"/>
      <c r="U2" s="4"/>
      <c r="V2" s="4"/>
      <c r="W2" s="4"/>
      <c r="X2" s="4"/>
      <c r="Y2" s="4"/>
      <c r="Z2" s="4"/>
    </row>
    <row r="3">
      <c r="A3" s="8" t="s">
        <v>23</v>
      </c>
      <c r="B3" s="12">
        <f>B2+H2-F22</f>
        <v>93.5</v>
      </c>
      <c r="C3" s="12">
        <f>C2+D22-E22</f>
        <v>16.25</v>
      </c>
      <c r="D3" s="12">
        <f t="shared" ref="D3:E3" si="1">D2-I22</f>
        <v>8</v>
      </c>
      <c r="E3" s="12">
        <f t="shared" si="1"/>
        <v>40</v>
      </c>
      <c r="F3" s="4"/>
      <c r="G3" s="4"/>
      <c r="H3" s="4"/>
      <c r="I3" s="4"/>
      <c r="J3" s="4"/>
      <c r="K3" s="4"/>
      <c r="L3" s="4"/>
      <c r="M3" s="4"/>
      <c r="N3" s="4"/>
      <c r="O3" s="4"/>
      <c r="P3" s="4"/>
      <c r="Q3" s="4"/>
      <c r="R3" s="4"/>
      <c r="S3" s="4"/>
      <c r="T3" s="4"/>
      <c r="U3" s="4"/>
      <c r="V3" s="4"/>
      <c r="W3" s="4"/>
      <c r="X3" s="4"/>
      <c r="Y3" s="4"/>
      <c r="Z3" s="4"/>
    </row>
    <row r="4">
      <c r="A4" s="8" t="s">
        <v>25</v>
      </c>
      <c r="B4" s="12">
        <f>B3+H2-F42</f>
        <v>98.5</v>
      </c>
      <c r="C4" s="12">
        <f>C3+D42-E42</f>
        <v>22.75</v>
      </c>
      <c r="D4" s="12">
        <f t="shared" ref="D4:E4" si="2">D3-I42</f>
        <v>8</v>
      </c>
      <c r="E4" s="12">
        <f t="shared" si="2"/>
        <v>40</v>
      </c>
      <c r="F4" s="4"/>
      <c r="G4" s="4"/>
      <c r="H4" s="4"/>
      <c r="I4" s="4"/>
      <c r="J4" s="4"/>
      <c r="K4" s="4"/>
      <c r="L4" s="4"/>
      <c r="M4" s="4"/>
      <c r="N4" s="4"/>
      <c r="O4" s="4"/>
      <c r="P4" s="4"/>
      <c r="Q4" s="4"/>
      <c r="R4" s="4"/>
      <c r="S4" s="4"/>
      <c r="T4" s="4"/>
      <c r="U4" s="4"/>
      <c r="V4" s="4"/>
      <c r="W4" s="4"/>
      <c r="X4" s="4"/>
      <c r="Y4" s="4"/>
      <c r="Z4" s="4"/>
    </row>
    <row r="5">
      <c r="A5" s="4"/>
      <c r="B5" s="4"/>
      <c r="C5" s="4"/>
      <c r="D5" s="4"/>
      <c r="E5" s="4"/>
      <c r="F5" s="4"/>
      <c r="G5" s="4"/>
      <c r="H5" s="4"/>
      <c r="I5" s="4"/>
      <c r="J5" s="4"/>
      <c r="K5" s="4"/>
      <c r="L5" s="4"/>
      <c r="M5" s="4"/>
      <c r="N5" s="4"/>
      <c r="O5" s="4"/>
      <c r="P5" s="13" t="s">
        <v>26</v>
      </c>
      <c r="Q5" s="13" t="s">
        <v>27</v>
      </c>
      <c r="R5" s="13" t="s">
        <v>28</v>
      </c>
      <c r="S5" s="4"/>
      <c r="T5" s="4"/>
      <c r="U5" s="4"/>
      <c r="V5" s="4"/>
      <c r="W5" s="4"/>
      <c r="X5" s="4"/>
      <c r="Y5" s="4"/>
      <c r="Z5" s="4"/>
    </row>
    <row r="6">
      <c r="A6" s="2" t="s">
        <v>29</v>
      </c>
      <c r="B6" s="2" t="s">
        <v>30</v>
      </c>
      <c r="C6" s="14" t="str">
        <f t="array" ref="C6:L6">TRANSPOSE('Time Types'!A2:A11)</f>
        <v>Regular</v>
      </c>
      <c r="D6" s="14" t="s">
        <v>31</v>
      </c>
      <c r="E6" s="14" t="s">
        <v>32</v>
      </c>
      <c r="F6" s="14" t="s">
        <v>12</v>
      </c>
      <c r="G6" s="14" t="s">
        <v>33</v>
      </c>
      <c r="H6" s="14" t="s">
        <v>34</v>
      </c>
      <c r="I6" s="14" t="s">
        <v>14</v>
      </c>
      <c r="J6" s="14" t="s">
        <v>16</v>
      </c>
      <c r="K6" s="14" t="s">
        <v>35</v>
      </c>
      <c r="L6" s="14" t="s">
        <v>36</v>
      </c>
      <c r="M6" s="2" t="s">
        <v>37</v>
      </c>
      <c r="N6" s="26" t="s">
        <v>38</v>
      </c>
      <c r="O6" s="4"/>
      <c r="P6" s="20"/>
      <c r="Q6" s="20"/>
      <c r="R6" s="21"/>
      <c r="S6" s="4"/>
      <c r="T6" s="4"/>
      <c r="U6" s="4"/>
      <c r="V6" s="4"/>
      <c r="W6" s="4"/>
      <c r="X6" s="4"/>
      <c r="Y6" s="4"/>
      <c r="Z6" s="4"/>
    </row>
    <row r="7">
      <c r="A7" s="15">
        <f>DATE(2026, MONTH(DATEVALUE($A$1 &amp; " 1")), 1)</f>
        <v>46327</v>
      </c>
      <c r="B7" s="16" t="str">
        <f t="shared" ref="B7:B21" si="3">text(A7,"ddd")</f>
        <v>Sun</v>
      </c>
      <c r="C7" s="18"/>
      <c r="D7" s="18"/>
      <c r="E7" s="18"/>
      <c r="F7" s="18"/>
      <c r="G7" s="18" t="str">
        <f>IF(COUNTIF(Holidays!$A$2:$A$12,$A7)&gt;0, 8,"")</f>
        <v/>
      </c>
      <c r="H7" s="18"/>
      <c r="I7" s="18"/>
      <c r="J7" s="18"/>
      <c r="K7" s="18"/>
      <c r="L7" s="18"/>
      <c r="M7" s="16" t="str">
        <f t="shared" ref="M7:M21" si="4">IF(OR(B7="Sat", B7="Sun"), "", sum(C7:J7))</f>
        <v/>
      </c>
      <c r="N7" s="27" t="str">
        <f t="shared" ref="N7:N21" si="5">IF(OR(B7="Sat", B7="Sun"), "", 8)</f>
        <v/>
      </c>
      <c r="O7" s="4"/>
      <c r="P7" s="19"/>
      <c r="Q7" s="20"/>
      <c r="R7" s="21"/>
      <c r="S7" s="4"/>
      <c r="T7" s="4"/>
      <c r="U7" s="4"/>
      <c r="V7" s="4"/>
      <c r="W7" s="4"/>
      <c r="X7" s="4"/>
      <c r="Y7" s="4"/>
      <c r="Z7" s="4"/>
    </row>
    <row r="8">
      <c r="A8" s="15">
        <f t="shared" ref="A8:A21" si="6">A7+1</f>
        <v>46328</v>
      </c>
      <c r="B8" s="16" t="str">
        <f t="shared" si="3"/>
        <v>Mon</v>
      </c>
      <c r="C8" s="17">
        <v>8.0</v>
      </c>
      <c r="D8" s="17"/>
      <c r="E8" s="17"/>
      <c r="F8" s="17"/>
      <c r="G8" s="18" t="str">
        <f>IF(COUNTIF(Holidays!$A$2:$A$12,$A8)&gt;0, 8,"")</f>
        <v/>
      </c>
      <c r="H8" s="18"/>
      <c r="I8" s="18"/>
      <c r="J8" s="17"/>
      <c r="K8" s="18"/>
      <c r="L8" s="18"/>
      <c r="M8" s="16">
        <f t="shared" si="4"/>
        <v>8</v>
      </c>
      <c r="N8" s="27">
        <f t="shared" si="5"/>
        <v>8</v>
      </c>
      <c r="O8" s="4"/>
      <c r="P8" s="19">
        <v>0.3333333333333333</v>
      </c>
      <c r="Q8" s="20">
        <v>0.6666666666666666</v>
      </c>
      <c r="R8" s="21">
        <f t="shared" ref="R8:R12" si="7">(Q8-P8)*24</f>
        <v>8</v>
      </c>
      <c r="S8" s="4"/>
      <c r="T8" s="4"/>
      <c r="U8" s="4"/>
      <c r="V8" s="4"/>
      <c r="W8" s="4"/>
      <c r="X8" s="4"/>
      <c r="Y8" s="4"/>
      <c r="Z8" s="4"/>
    </row>
    <row r="9">
      <c r="A9" s="15">
        <f t="shared" si="6"/>
        <v>46329</v>
      </c>
      <c r="B9" s="16" t="str">
        <f t="shared" si="3"/>
        <v>Tue</v>
      </c>
      <c r="C9" s="17">
        <v>8.0</v>
      </c>
      <c r="D9" s="17"/>
      <c r="E9" s="18"/>
      <c r="F9" s="17"/>
      <c r="G9" s="18" t="str">
        <f>IF(COUNTIF(Holidays!$A$2:$A$12,$A9)&gt;0, 8,"")</f>
        <v/>
      </c>
      <c r="H9" s="18"/>
      <c r="I9" s="18"/>
      <c r="J9" s="17"/>
      <c r="K9" s="18"/>
      <c r="L9" s="18"/>
      <c r="M9" s="16">
        <f t="shared" si="4"/>
        <v>8</v>
      </c>
      <c r="N9" s="27">
        <f t="shared" si="5"/>
        <v>8</v>
      </c>
      <c r="O9" s="4"/>
      <c r="P9" s="19">
        <v>0.3333333333333333</v>
      </c>
      <c r="Q9" s="20">
        <v>0.6666666666666666</v>
      </c>
      <c r="R9" s="21">
        <f t="shared" si="7"/>
        <v>8</v>
      </c>
      <c r="S9" s="4"/>
      <c r="T9" s="4"/>
      <c r="U9" s="4"/>
      <c r="V9" s="4"/>
      <c r="W9" s="4"/>
      <c r="X9" s="4"/>
      <c r="Y9" s="4"/>
      <c r="Z9" s="4"/>
    </row>
    <row r="10">
      <c r="A10" s="15">
        <f t="shared" si="6"/>
        <v>46330</v>
      </c>
      <c r="B10" s="16" t="str">
        <f t="shared" si="3"/>
        <v>Wed</v>
      </c>
      <c r="C10" s="17">
        <v>8.0</v>
      </c>
      <c r="D10" s="17"/>
      <c r="E10" s="18"/>
      <c r="F10" s="17"/>
      <c r="G10" s="18" t="str">
        <f>IF(COUNTIF(Holidays!$A$2:$A$12,$A10)&gt;0, 8,"")</f>
        <v/>
      </c>
      <c r="H10" s="18"/>
      <c r="I10" s="18"/>
      <c r="J10" s="17"/>
      <c r="K10" s="18"/>
      <c r="L10" s="18"/>
      <c r="M10" s="16">
        <f t="shared" si="4"/>
        <v>8</v>
      </c>
      <c r="N10" s="27">
        <f t="shared" si="5"/>
        <v>8</v>
      </c>
      <c r="O10" s="4"/>
      <c r="P10" s="19">
        <v>0.3333333333333333</v>
      </c>
      <c r="Q10" s="20">
        <v>0.6666666666666666</v>
      </c>
      <c r="R10" s="21">
        <f t="shared" si="7"/>
        <v>8</v>
      </c>
      <c r="S10" s="4"/>
      <c r="T10" s="4"/>
      <c r="U10" s="4"/>
      <c r="V10" s="4"/>
      <c r="W10" s="4"/>
      <c r="X10" s="4"/>
      <c r="Y10" s="4"/>
      <c r="Z10" s="4"/>
    </row>
    <row r="11">
      <c r="A11" s="15">
        <f t="shared" si="6"/>
        <v>46331</v>
      </c>
      <c r="B11" s="16" t="str">
        <f t="shared" si="3"/>
        <v>Thu</v>
      </c>
      <c r="C11" s="17">
        <v>8.0</v>
      </c>
      <c r="D11" s="17"/>
      <c r="E11" s="18"/>
      <c r="F11" s="17"/>
      <c r="G11" s="18" t="str">
        <f>IF(COUNTIF(Holidays!$A$2:$A$12,$A11)&gt;0, 8,"")</f>
        <v/>
      </c>
      <c r="H11" s="18"/>
      <c r="I11" s="18"/>
      <c r="J11" s="17"/>
      <c r="K11" s="18"/>
      <c r="L11" s="18"/>
      <c r="M11" s="16">
        <f t="shared" si="4"/>
        <v>8</v>
      </c>
      <c r="N11" s="27">
        <f t="shared" si="5"/>
        <v>8</v>
      </c>
      <c r="O11" s="4"/>
      <c r="P11" s="19">
        <v>0.3333333333333333</v>
      </c>
      <c r="Q11" s="20">
        <v>0.6666666666666666</v>
      </c>
      <c r="R11" s="21">
        <f t="shared" si="7"/>
        <v>8</v>
      </c>
      <c r="S11" s="4"/>
      <c r="T11" s="4"/>
      <c r="U11" s="4"/>
      <c r="V11" s="4"/>
      <c r="W11" s="4"/>
      <c r="X11" s="4"/>
      <c r="Y11" s="4"/>
      <c r="Z11" s="4"/>
    </row>
    <row r="12">
      <c r="A12" s="15">
        <f t="shared" si="6"/>
        <v>46332</v>
      </c>
      <c r="B12" s="16" t="str">
        <f t="shared" si="3"/>
        <v>Fri</v>
      </c>
      <c r="C12" s="17">
        <v>8.0</v>
      </c>
      <c r="D12" s="17"/>
      <c r="E12" s="18"/>
      <c r="F12" s="18"/>
      <c r="G12" s="18" t="str">
        <f>IF(COUNTIF(Holidays!$A$2:$A$12,$A12)&gt;0, 8,"")</f>
        <v/>
      </c>
      <c r="H12" s="18"/>
      <c r="I12" s="18"/>
      <c r="J12" s="17"/>
      <c r="K12" s="18"/>
      <c r="L12" s="18"/>
      <c r="M12" s="16">
        <f t="shared" si="4"/>
        <v>8</v>
      </c>
      <c r="N12" s="27">
        <f t="shared" si="5"/>
        <v>8</v>
      </c>
      <c r="O12" s="4"/>
      <c r="P12" s="19">
        <v>0.3333333333333333</v>
      </c>
      <c r="Q12" s="20">
        <v>0.6666666666666666</v>
      </c>
      <c r="R12" s="21">
        <f t="shared" si="7"/>
        <v>8</v>
      </c>
      <c r="S12" s="4"/>
      <c r="T12" s="4"/>
      <c r="U12" s="4"/>
      <c r="V12" s="4"/>
      <c r="W12" s="4"/>
      <c r="X12" s="4"/>
      <c r="Y12" s="4"/>
      <c r="Z12" s="4"/>
    </row>
    <row r="13">
      <c r="A13" s="15">
        <f t="shared" si="6"/>
        <v>46333</v>
      </c>
      <c r="B13" s="16" t="str">
        <f t="shared" si="3"/>
        <v>Sat</v>
      </c>
      <c r="C13" s="17"/>
      <c r="D13" s="18"/>
      <c r="E13" s="18"/>
      <c r="F13" s="18"/>
      <c r="G13" s="18" t="str">
        <f>IF(COUNTIF(Holidays!$A$2:$A$12,$A13)&gt;0, 8,"")</f>
        <v/>
      </c>
      <c r="H13" s="18"/>
      <c r="I13" s="18"/>
      <c r="J13" s="18"/>
      <c r="K13" s="18"/>
      <c r="L13" s="18"/>
      <c r="M13" s="16" t="str">
        <f t="shared" si="4"/>
        <v/>
      </c>
      <c r="N13" s="27" t="str">
        <f t="shared" si="5"/>
        <v/>
      </c>
      <c r="O13" s="4"/>
      <c r="P13" s="19"/>
      <c r="Q13" s="20"/>
      <c r="R13" s="21"/>
      <c r="S13" s="4"/>
      <c r="T13" s="4"/>
      <c r="U13" s="4"/>
      <c r="V13" s="4"/>
      <c r="W13" s="4"/>
      <c r="X13" s="4"/>
      <c r="Y13" s="4"/>
      <c r="Z13" s="4"/>
    </row>
    <row r="14">
      <c r="A14" s="15">
        <f t="shared" si="6"/>
        <v>46334</v>
      </c>
      <c r="B14" s="16" t="str">
        <f t="shared" si="3"/>
        <v>Sun</v>
      </c>
      <c r="C14" s="17"/>
      <c r="D14" s="18"/>
      <c r="E14" s="18"/>
      <c r="F14" s="18"/>
      <c r="G14" s="18" t="str">
        <f>IF(COUNTIF(Holidays!$A$2:$A$12,$A14)&gt;0, 8,"")</f>
        <v/>
      </c>
      <c r="H14" s="18"/>
      <c r="I14" s="18"/>
      <c r="J14" s="18"/>
      <c r="K14" s="18"/>
      <c r="L14" s="18"/>
      <c r="M14" s="16" t="str">
        <f t="shared" si="4"/>
        <v/>
      </c>
      <c r="N14" s="27" t="str">
        <f t="shared" si="5"/>
        <v/>
      </c>
      <c r="O14" s="4"/>
      <c r="P14" s="19"/>
      <c r="Q14" s="20"/>
      <c r="R14" s="21"/>
      <c r="S14" s="4"/>
      <c r="T14" s="4"/>
      <c r="U14" s="4"/>
      <c r="V14" s="4"/>
      <c r="W14" s="4"/>
      <c r="X14" s="4"/>
      <c r="Y14" s="4"/>
      <c r="Z14" s="4"/>
    </row>
    <row r="15">
      <c r="A15" s="15">
        <f t="shared" si="6"/>
        <v>46335</v>
      </c>
      <c r="B15" s="16" t="str">
        <f t="shared" si="3"/>
        <v>Mon</v>
      </c>
      <c r="C15" s="17"/>
      <c r="D15" s="17"/>
      <c r="E15" s="17"/>
      <c r="F15" s="17">
        <v>1.0</v>
      </c>
      <c r="G15" s="18" t="str">
        <f>IF(COUNTIF(Holidays!$A$2:$A$12,$A15)&gt;0, 8,"")</f>
        <v/>
      </c>
      <c r="H15" s="18"/>
      <c r="I15" s="18"/>
      <c r="J15" s="17"/>
      <c r="K15" s="18"/>
      <c r="L15" s="18"/>
      <c r="M15" s="16">
        <f t="shared" si="4"/>
        <v>1</v>
      </c>
      <c r="N15" s="27">
        <f t="shared" si="5"/>
        <v>8</v>
      </c>
      <c r="O15" s="4"/>
      <c r="P15" s="19">
        <v>0.3333333333333333</v>
      </c>
      <c r="Q15" s="20">
        <v>0.6666666666666666</v>
      </c>
      <c r="R15" s="21">
        <f t="shared" ref="R15:R19" si="8">(Q15-P15)*24</f>
        <v>8</v>
      </c>
      <c r="S15" s="4"/>
      <c r="T15" s="4"/>
      <c r="U15" s="4"/>
      <c r="V15" s="4"/>
      <c r="W15" s="4"/>
      <c r="X15" s="4"/>
      <c r="Y15" s="4"/>
      <c r="Z15" s="4"/>
    </row>
    <row r="16">
      <c r="A16" s="15">
        <f t="shared" si="6"/>
        <v>46336</v>
      </c>
      <c r="B16" s="16" t="str">
        <f t="shared" si="3"/>
        <v>Tue</v>
      </c>
      <c r="C16" s="17"/>
      <c r="D16" s="17"/>
      <c r="E16" s="17"/>
      <c r="F16" s="17">
        <v>1.0</v>
      </c>
      <c r="G16" s="18" t="str">
        <f>IF(COUNTIF(Holidays!$A$2:$A$12,$A16)&gt;0, 8,"")</f>
        <v/>
      </c>
      <c r="H16" s="18"/>
      <c r="I16" s="18"/>
      <c r="J16" s="17"/>
      <c r="K16" s="18"/>
      <c r="L16" s="18"/>
      <c r="M16" s="16">
        <f t="shared" si="4"/>
        <v>1</v>
      </c>
      <c r="N16" s="27">
        <f t="shared" si="5"/>
        <v>8</v>
      </c>
      <c r="O16" s="4"/>
      <c r="P16" s="19">
        <v>0.3333333333333333</v>
      </c>
      <c r="Q16" s="20">
        <v>0.6666666666666666</v>
      </c>
      <c r="R16" s="21">
        <f t="shared" si="8"/>
        <v>8</v>
      </c>
      <c r="S16" s="4"/>
      <c r="T16" s="4"/>
      <c r="U16" s="4"/>
      <c r="V16" s="4"/>
      <c r="W16" s="4"/>
      <c r="X16" s="4"/>
      <c r="Y16" s="4"/>
      <c r="Z16" s="4"/>
    </row>
    <row r="17">
      <c r="A17" s="15">
        <f t="shared" si="6"/>
        <v>46337</v>
      </c>
      <c r="B17" s="16" t="str">
        <f t="shared" si="3"/>
        <v>Wed</v>
      </c>
      <c r="C17" s="17"/>
      <c r="D17" s="18"/>
      <c r="E17" s="18"/>
      <c r="F17" s="18"/>
      <c r="G17" s="18">
        <f>IF(COUNTIF(Holidays!$A$2:$A$12,$A17)&gt;0, 8,"")</f>
        <v>8</v>
      </c>
      <c r="H17" s="18"/>
      <c r="I17" s="18"/>
      <c r="J17" s="18"/>
      <c r="K17" s="18"/>
      <c r="L17" s="18"/>
      <c r="M17" s="16">
        <f t="shared" si="4"/>
        <v>8</v>
      </c>
      <c r="N17" s="27">
        <f t="shared" si="5"/>
        <v>8</v>
      </c>
      <c r="O17" s="4"/>
      <c r="P17" s="19">
        <v>0.3333333333333333</v>
      </c>
      <c r="Q17" s="20">
        <v>0.6666666666666666</v>
      </c>
      <c r="R17" s="21">
        <f t="shared" si="8"/>
        <v>8</v>
      </c>
      <c r="S17" s="4"/>
      <c r="T17" s="4"/>
      <c r="U17" s="4"/>
      <c r="V17" s="4"/>
      <c r="W17" s="4"/>
      <c r="X17" s="4"/>
      <c r="Y17" s="4"/>
      <c r="Z17" s="4"/>
    </row>
    <row r="18">
      <c r="A18" s="15">
        <f t="shared" si="6"/>
        <v>46338</v>
      </c>
      <c r="B18" s="16" t="str">
        <f t="shared" si="3"/>
        <v>Thu</v>
      </c>
      <c r="C18" s="17"/>
      <c r="D18" s="17"/>
      <c r="E18" s="17"/>
      <c r="F18" s="17">
        <v>1.0</v>
      </c>
      <c r="G18" s="18" t="str">
        <f>IF(COUNTIF(Holidays!$A$2:$A$12,$A18)&gt;0, 8,"")</f>
        <v/>
      </c>
      <c r="H18" s="18"/>
      <c r="I18" s="18"/>
      <c r="J18" s="17"/>
      <c r="K18" s="18"/>
      <c r="L18" s="18"/>
      <c r="M18" s="16">
        <f t="shared" si="4"/>
        <v>1</v>
      </c>
      <c r="N18" s="27">
        <f t="shared" si="5"/>
        <v>8</v>
      </c>
      <c r="O18" s="4"/>
      <c r="P18" s="19">
        <v>0.3333333333333333</v>
      </c>
      <c r="Q18" s="20">
        <v>0.6666666666666666</v>
      </c>
      <c r="R18" s="21">
        <f t="shared" si="8"/>
        <v>8</v>
      </c>
      <c r="S18" s="4"/>
      <c r="T18" s="4"/>
      <c r="U18" s="4"/>
      <c r="V18" s="4"/>
      <c r="W18" s="4"/>
      <c r="X18" s="4"/>
      <c r="Y18" s="4"/>
      <c r="Z18" s="4"/>
    </row>
    <row r="19">
      <c r="A19" s="15">
        <f t="shared" si="6"/>
        <v>46339</v>
      </c>
      <c r="B19" s="16" t="str">
        <f t="shared" si="3"/>
        <v>Fri</v>
      </c>
      <c r="C19" s="17"/>
      <c r="D19" s="17"/>
      <c r="E19" s="18"/>
      <c r="F19" s="17">
        <v>1.0</v>
      </c>
      <c r="G19" s="18" t="str">
        <f>IF(COUNTIF(Holidays!$A$2:$A$12,$A19)&gt;0, 8,"")</f>
        <v/>
      </c>
      <c r="H19" s="18"/>
      <c r="I19" s="18"/>
      <c r="J19" s="17"/>
      <c r="K19" s="18"/>
      <c r="L19" s="18"/>
      <c r="M19" s="16">
        <f t="shared" si="4"/>
        <v>1</v>
      </c>
      <c r="N19" s="27">
        <f t="shared" si="5"/>
        <v>8</v>
      </c>
      <c r="O19" s="4"/>
      <c r="P19" s="19">
        <v>0.3333333333333333</v>
      </c>
      <c r="Q19" s="20">
        <v>0.6666666666666666</v>
      </c>
      <c r="R19" s="21">
        <f t="shared" si="8"/>
        <v>8</v>
      </c>
      <c r="S19" s="4"/>
      <c r="T19" s="4"/>
      <c r="U19" s="4"/>
      <c r="V19" s="4"/>
      <c r="W19" s="4"/>
      <c r="X19" s="4"/>
      <c r="Y19" s="4"/>
      <c r="Z19" s="4"/>
    </row>
    <row r="20">
      <c r="A20" s="15">
        <f t="shared" si="6"/>
        <v>46340</v>
      </c>
      <c r="B20" s="16" t="str">
        <f t="shared" si="3"/>
        <v>Sat</v>
      </c>
      <c r="C20" s="17"/>
      <c r="D20" s="18"/>
      <c r="E20" s="18"/>
      <c r="F20" s="18"/>
      <c r="G20" s="18" t="str">
        <f>IF(COUNTIF(Holidays!$A$2:$A$12,$A20)&gt;0, 8,"")</f>
        <v/>
      </c>
      <c r="H20" s="18"/>
      <c r="I20" s="18"/>
      <c r="J20" s="18"/>
      <c r="K20" s="18"/>
      <c r="L20" s="18"/>
      <c r="M20" s="16" t="str">
        <f t="shared" si="4"/>
        <v/>
      </c>
      <c r="N20" s="27" t="str">
        <f t="shared" si="5"/>
        <v/>
      </c>
      <c r="O20" s="4"/>
      <c r="P20" s="19"/>
      <c r="Q20" s="20"/>
      <c r="R20" s="21"/>
      <c r="S20" s="4"/>
      <c r="T20" s="4"/>
      <c r="U20" s="4"/>
      <c r="V20" s="4"/>
      <c r="W20" s="4"/>
      <c r="X20" s="4"/>
      <c r="Y20" s="4"/>
      <c r="Z20" s="4"/>
    </row>
    <row r="21">
      <c r="A21" s="15">
        <f t="shared" si="6"/>
        <v>46341</v>
      </c>
      <c r="B21" s="16" t="str">
        <f t="shared" si="3"/>
        <v>Sun</v>
      </c>
      <c r="C21" s="17"/>
      <c r="D21" s="18"/>
      <c r="E21" s="18"/>
      <c r="F21" s="18"/>
      <c r="G21" s="18" t="str">
        <f>IF(COUNTIF(Holidays!$A$2:$A$12,$A21)&gt;0, 8,"")</f>
        <v/>
      </c>
      <c r="H21" s="18"/>
      <c r="I21" s="18"/>
      <c r="J21" s="18"/>
      <c r="K21" s="18"/>
      <c r="L21" s="18"/>
      <c r="M21" s="16" t="str">
        <f t="shared" si="4"/>
        <v/>
      </c>
      <c r="N21" s="27" t="str">
        <f t="shared" si="5"/>
        <v/>
      </c>
      <c r="O21" s="4"/>
      <c r="P21" s="19"/>
      <c r="Q21" s="20"/>
      <c r="R21" s="21"/>
      <c r="S21" s="4"/>
      <c r="T21" s="4"/>
      <c r="U21" s="4"/>
      <c r="V21" s="4"/>
      <c r="W21" s="4"/>
      <c r="X21" s="4"/>
      <c r="Y21" s="4"/>
      <c r="Z21" s="4"/>
    </row>
    <row r="22">
      <c r="A22" s="2" t="s">
        <v>47</v>
      </c>
      <c r="C22" s="14">
        <f t="shared" ref="C22:N22" si="9">sum(C7:C21)</f>
        <v>40</v>
      </c>
      <c r="D22" s="14">
        <f t="shared" si="9"/>
        <v>0</v>
      </c>
      <c r="E22" s="14">
        <f t="shared" si="9"/>
        <v>0</v>
      </c>
      <c r="F22" s="14">
        <f t="shared" si="9"/>
        <v>4</v>
      </c>
      <c r="G22" s="14">
        <f t="shared" si="9"/>
        <v>8</v>
      </c>
      <c r="H22" s="14">
        <f t="shared" si="9"/>
        <v>0</v>
      </c>
      <c r="I22" s="14">
        <f t="shared" si="9"/>
        <v>0</v>
      </c>
      <c r="J22" s="14">
        <f t="shared" si="9"/>
        <v>0</v>
      </c>
      <c r="K22" s="14">
        <f t="shared" si="9"/>
        <v>0</v>
      </c>
      <c r="L22" s="14">
        <f t="shared" si="9"/>
        <v>0</v>
      </c>
      <c r="M22" s="14">
        <f t="shared" si="9"/>
        <v>52</v>
      </c>
      <c r="N22" s="26">
        <f t="shared" si="9"/>
        <v>80</v>
      </c>
      <c r="O22" s="4"/>
      <c r="P22" s="4"/>
      <c r="Q22" s="4"/>
      <c r="R22" s="24">
        <f>sum(R7:R21)</f>
        <v>80</v>
      </c>
      <c r="S22" s="4"/>
      <c r="T22" s="4"/>
      <c r="U22" s="4"/>
      <c r="V22" s="4"/>
      <c r="W22" s="4"/>
      <c r="X22" s="4"/>
      <c r="Y22" s="4"/>
      <c r="Z22" s="4"/>
    </row>
    <row r="23">
      <c r="A23" s="4"/>
      <c r="B23" s="4"/>
      <c r="C23" s="4"/>
      <c r="D23" s="4"/>
      <c r="E23" s="4"/>
      <c r="F23" s="4"/>
      <c r="G23" s="4"/>
      <c r="H23" s="4"/>
      <c r="I23" s="4"/>
      <c r="J23" s="4"/>
      <c r="K23" s="4"/>
      <c r="L23" s="4"/>
      <c r="M23" s="4"/>
      <c r="N23" s="29"/>
      <c r="O23" s="4"/>
      <c r="P23" s="4"/>
      <c r="Q23" s="4"/>
      <c r="R23" s="4"/>
      <c r="S23" s="4"/>
      <c r="T23" s="4"/>
      <c r="U23" s="4"/>
      <c r="V23" s="4"/>
      <c r="W23" s="4"/>
      <c r="X23" s="4"/>
      <c r="Y23" s="4"/>
      <c r="Z23" s="4"/>
    </row>
    <row r="24">
      <c r="A24" s="4"/>
      <c r="B24" s="4"/>
      <c r="C24" s="4"/>
      <c r="D24" s="4"/>
      <c r="E24" s="4"/>
      <c r="F24" s="4"/>
      <c r="G24" s="4"/>
      <c r="H24" s="4"/>
      <c r="I24" s="4"/>
      <c r="J24" s="4"/>
      <c r="K24" s="4"/>
      <c r="L24" s="4"/>
      <c r="M24" s="4"/>
      <c r="N24" s="29"/>
      <c r="O24" s="4"/>
      <c r="P24" s="4"/>
      <c r="Q24" s="4"/>
      <c r="R24" s="4"/>
      <c r="S24" s="4"/>
      <c r="T24" s="4"/>
      <c r="U24" s="4"/>
      <c r="V24" s="4"/>
      <c r="W24" s="4"/>
      <c r="X24" s="4"/>
      <c r="Y24" s="4"/>
      <c r="Z24" s="4"/>
    </row>
    <row r="25">
      <c r="A25" s="2" t="s">
        <v>49</v>
      </c>
      <c r="B25" s="2" t="s">
        <v>30</v>
      </c>
      <c r="C25" s="14" t="str">
        <f t="array" ref="C25:L25">transpose('Time Types'!A2:A11)</f>
        <v>Regular</v>
      </c>
      <c r="D25" s="14" t="s">
        <v>31</v>
      </c>
      <c r="E25" s="14" t="s">
        <v>32</v>
      </c>
      <c r="F25" s="14" t="s">
        <v>12</v>
      </c>
      <c r="G25" s="14" t="s">
        <v>33</v>
      </c>
      <c r="H25" s="14" t="s">
        <v>34</v>
      </c>
      <c r="I25" s="14" t="s">
        <v>14</v>
      </c>
      <c r="J25" s="14" t="s">
        <v>16</v>
      </c>
      <c r="K25" s="14" t="s">
        <v>35</v>
      </c>
      <c r="L25" s="14" t="s">
        <v>36</v>
      </c>
      <c r="M25" s="2" t="s">
        <v>37</v>
      </c>
      <c r="N25" s="26" t="s">
        <v>38</v>
      </c>
      <c r="O25" s="4"/>
      <c r="P25" s="20"/>
      <c r="Q25" s="19"/>
      <c r="R25" s="21"/>
      <c r="S25" s="4"/>
      <c r="T25" s="4"/>
      <c r="U25" s="4"/>
      <c r="V25" s="4"/>
      <c r="W25" s="4"/>
      <c r="X25" s="4"/>
      <c r="Y25" s="4"/>
      <c r="Z25" s="4"/>
    </row>
    <row r="26">
      <c r="A26" s="15">
        <f>A21+1</f>
        <v>46342</v>
      </c>
      <c r="B26" s="16" t="str">
        <f t="shared" ref="B26:B40" si="10">text(A26,"ddd")</f>
        <v>Mon</v>
      </c>
      <c r="C26" s="17">
        <v>8.0</v>
      </c>
      <c r="D26" s="17">
        <v>1.0</v>
      </c>
      <c r="E26" s="18"/>
      <c r="F26" s="17"/>
      <c r="G26" s="18" t="str">
        <f>IF(COUNTIF(Holidays!$A$2:$A$12,$A26)&gt;0, 8,"")</f>
        <v/>
      </c>
      <c r="H26" s="18"/>
      <c r="I26" s="18"/>
      <c r="J26" s="18"/>
      <c r="K26" s="18"/>
      <c r="L26" s="18"/>
      <c r="M26" s="16">
        <f t="shared" ref="M26:M40" si="11">IF(OR(B26="Sat", B26="Sun"), "", sum(C26:J26))</f>
        <v>9</v>
      </c>
      <c r="N26" s="27">
        <f t="shared" ref="N26:N40" si="12">IF(OR(B26="Sat", B26="Sun"), "", 8)</f>
        <v>8</v>
      </c>
      <c r="O26" s="4"/>
      <c r="P26" s="19">
        <v>0.3333333333333333</v>
      </c>
      <c r="Q26" s="20">
        <v>0.6666666666666666</v>
      </c>
      <c r="R26" s="21">
        <f t="shared" ref="R26:R30" si="13">(Q26-P26)*24</f>
        <v>8</v>
      </c>
      <c r="S26" s="4"/>
      <c r="T26" s="4"/>
      <c r="U26" s="4"/>
      <c r="V26" s="4"/>
      <c r="W26" s="4"/>
      <c r="X26" s="4"/>
      <c r="Y26" s="4"/>
      <c r="Z26" s="4"/>
    </row>
    <row r="27">
      <c r="A27" s="15">
        <f t="shared" ref="A27:A40" si="14">A26+1</f>
        <v>46343</v>
      </c>
      <c r="B27" s="16" t="str">
        <f t="shared" si="10"/>
        <v>Tue</v>
      </c>
      <c r="C27" s="17">
        <v>8.0</v>
      </c>
      <c r="D27" s="17">
        <v>1.0</v>
      </c>
      <c r="E27" s="18"/>
      <c r="F27" s="17"/>
      <c r="G27" s="18" t="str">
        <f>IF(COUNTIF(Holidays!$A$2:$A$12,$A27)&gt;0, 8,"")</f>
        <v/>
      </c>
      <c r="H27" s="18"/>
      <c r="I27" s="18"/>
      <c r="J27" s="18"/>
      <c r="K27" s="18"/>
      <c r="L27" s="18"/>
      <c r="M27" s="16">
        <f t="shared" si="11"/>
        <v>9</v>
      </c>
      <c r="N27" s="27">
        <f t="shared" si="12"/>
        <v>8</v>
      </c>
      <c r="O27" s="4"/>
      <c r="P27" s="19">
        <v>0.3333333333333333</v>
      </c>
      <c r="Q27" s="20">
        <v>0.6666666666666666</v>
      </c>
      <c r="R27" s="21">
        <f t="shared" si="13"/>
        <v>8</v>
      </c>
      <c r="S27" s="4"/>
      <c r="T27" s="4"/>
      <c r="U27" s="4"/>
      <c r="V27" s="4"/>
      <c r="W27" s="4"/>
      <c r="X27" s="4"/>
      <c r="Y27" s="4"/>
      <c r="Z27" s="4"/>
    </row>
    <row r="28">
      <c r="A28" s="15">
        <f t="shared" si="14"/>
        <v>46344</v>
      </c>
      <c r="B28" s="16" t="str">
        <f t="shared" si="10"/>
        <v>Wed</v>
      </c>
      <c r="C28" s="17">
        <v>8.0</v>
      </c>
      <c r="D28" s="17">
        <v>0.5</v>
      </c>
      <c r="E28" s="18"/>
      <c r="F28" s="17"/>
      <c r="G28" s="18" t="str">
        <f>IF(COUNTIF(Holidays!$A$2:$A$12,$A28)&gt;0, 8,"")</f>
        <v/>
      </c>
      <c r="H28" s="18"/>
      <c r="I28" s="18"/>
      <c r="J28" s="18"/>
      <c r="K28" s="18"/>
      <c r="L28" s="18"/>
      <c r="M28" s="16">
        <f t="shared" si="11"/>
        <v>8.5</v>
      </c>
      <c r="N28" s="27">
        <f t="shared" si="12"/>
        <v>8</v>
      </c>
      <c r="O28" s="4"/>
      <c r="P28" s="19">
        <v>0.3333333333333333</v>
      </c>
      <c r="Q28" s="20">
        <v>0.6666666666666666</v>
      </c>
      <c r="R28" s="21">
        <f t="shared" si="13"/>
        <v>8</v>
      </c>
      <c r="S28" s="4"/>
      <c r="T28" s="4"/>
      <c r="U28" s="4"/>
      <c r="V28" s="4"/>
      <c r="W28" s="4"/>
      <c r="X28" s="4"/>
      <c r="Y28" s="4"/>
      <c r="Z28" s="4"/>
    </row>
    <row r="29">
      <c r="A29" s="15">
        <f t="shared" si="14"/>
        <v>46345</v>
      </c>
      <c r="B29" s="16" t="str">
        <f t="shared" si="10"/>
        <v>Thu</v>
      </c>
      <c r="C29" s="17">
        <v>8.0</v>
      </c>
      <c r="D29" s="17">
        <v>0.5</v>
      </c>
      <c r="E29" s="18"/>
      <c r="F29" s="17"/>
      <c r="G29" s="18" t="str">
        <f>IF(COUNTIF(Holidays!$A$2:$A$12,$A29)&gt;0, 8,"")</f>
        <v/>
      </c>
      <c r="H29" s="18"/>
      <c r="I29" s="18"/>
      <c r="J29" s="17"/>
      <c r="K29" s="18"/>
      <c r="L29" s="18"/>
      <c r="M29" s="16">
        <f t="shared" si="11"/>
        <v>8.5</v>
      </c>
      <c r="N29" s="27">
        <f t="shared" si="12"/>
        <v>8</v>
      </c>
      <c r="O29" s="4"/>
      <c r="P29" s="19">
        <v>0.3333333333333333</v>
      </c>
      <c r="Q29" s="20">
        <v>0.6666666666666666</v>
      </c>
      <c r="R29" s="21">
        <f t="shared" si="13"/>
        <v>8</v>
      </c>
      <c r="S29" s="4"/>
      <c r="T29" s="4"/>
      <c r="U29" s="4"/>
      <c r="V29" s="4"/>
      <c r="W29" s="4"/>
      <c r="X29" s="4"/>
      <c r="Y29" s="4"/>
      <c r="Z29" s="4"/>
    </row>
    <row r="30">
      <c r="A30" s="15">
        <f t="shared" si="14"/>
        <v>46346</v>
      </c>
      <c r="B30" s="16" t="str">
        <f t="shared" si="10"/>
        <v>Fri</v>
      </c>
      <c r="C30" s="17">
        <v>8.0</v>
      </c>
      <c r="D30" s="17"/>
      <c r="E30" s="18"/>
      <c r="F30" s="17"/>
      <c r="G30" s="18" t="str">
        <f>IF(COUNTIF(Holidays!$A$2:$A$12,$A30)&gt;0, 8,"")</f>
        <v/>
      </c>
      <c r="H30" s="18"/>
      <c r="I30" s="18"/>
      <c r="J30" s="17"/>
      <c r="K30" s="18"/>
      <c r="L30" s="18"/>
      <c r="M30" s="16">
        <f t="shared" si="11"/>
        <v>8</v>
      </c>
      <c r="N30" s="27">
        <f t="shared" si="12"/>
        <v>8</v>
      </c>
      <c r="O30" s="4"/>
      <c r="P30" s="19">
        <v>0.3333333333333333</v>
      </c>
      <c r="Q30" s="20">
        <v>0.6666666666666666</v>
      </c>
      <c r="R30" s="21">
        <f t="shared" si="13"/>
        <v>8</v>
      </c>
      <c r="S30" s="4"/>
      <c r="T30" s="4"/>
      <c r="U30" s="4"/>
      <c r="V30" s="4"/>
      <c r="W30" s="4"/>
      <c r="X30" s="4"/>
      <c r="Y30" s="4"/>
      <c r="Z30" s="4"/>
    </row>
    <row r="31">
      <c r="A31" s="15">
        <f t="shared" si="14"/>
        <v>46347</v>
      </c>
      <c r="B31" s="16" t="str">
        <f t="shared" si="10"/>
        <v>Sat</v>
      </c>
      <c r="C31" s="17"/>
      <c r="D31" s="18"/>
      <c r="E31" s="18"/>
      <c r="F31" s="18"/>
      <c r="G31" s="18" t="str">
        <f>IF(COUNTIF(Holidays!$A$2:$A$12,$A31)&gt;0, 8,"")</f>
        <v/>
      </c>
      <c r="H31" s="18"/>
      <c r="I31" s="18"/>
      <c r="J31" s="18"/>
      <c r="K31" s="18"/>
      <c r="L31" s="18"/>
      <c r="M31" s="16" t="str">
        <f t="shared" si="11"/>
        <v/>
      </c>
      <c r="N31" s="27" t="str">
        <f t="shared" si="12"/>
        <v/>
      </c>
      <c r="O31" s="4"/>
      <c r="P31" s="19"/>
      <c r="Q31" s="20"/>
      <c r="R31" s="21"/>
      <c r="S31" s="4"/>
      <c r="T31" s="4"/>
      <c r="U31" s="4"/>
      <c r="V31" s="4"/>
      <c r="W31" s="4"/>
      <c r="X31" s="4"/>
      <c r="Y31" s="4"/>
      <c r="Z31" s="4"/>
    </row>
    <row r="32">
      <c r="A32" s="15">
        <f t="shared" si="14"/>
        <v>46348</v>
      </c>
      <c r="B32" s="16" t="str">
        <f t="shared" si="10"/>
        <v>Sun</v>
      </c>
      <c r="C32" s="17"/>
      <c r="D32" s="18"/>
      <c r="E32" s="18"/>
      <c r="F32" s="18"/>
      <c r="G32" s="18" t="str">
        <f>IF(COUNTIF(Holidays!$A$2:$A$12,$A32)&gt;0, 8,"")</f>
        <v/>
      </c>
      <c r="H32" s="18"/>
      <c r="I32" s="18"/>
      <c r="J32" s="18"/>
      <c r="K32" s="18"/>
      <c r="L32" s="18"/>
      <c r="M32" s="16" t="str">
        <f t="shared" si="11"/>
        <v/>
      </c>
      <c r="N32" s="27" t="str">
        <f t="shared" si="12"/>
        <v/>
      </c>
      <c r="O32" s="4"/>
      <c r="P32" s="19"/>
      <c r="Q32" s="20"/>
      <c r="R32" s="21"/>
      <c r="S32" s="4"/>
      <c r="T32" s="4"/>
      <c r="U32" s="4"/>
      <c r="V32" s="4"/>
      <c r="W32" s="4"/>
      <c r="X32" s="4"/>
      <c r="Y32" s="4"/>
      <c r="Z32" s="4"/>
    </row>
    <row r="33">
      <c r="A33" s="15">
        <f t="shared" si="14"/>
        <v>46349</v>
      </c>
      <c r="B33" s="16" t="str">
        <f t="shared" si="10"/>
        <v>Mon</v>
      </c>
      <c r="C33" s="17">
        <v>8.0</v>
      </c>
      <c r="D33" s="17">
        <v>1.0</v>
      </c>
      <c r="E33" s="18"/>
      <c r="F33" s="17"/>
      <c r="G33" s="18" t="str">
        <f>IF(COUNTIF(Holidays!$A$2:$A$12,$A33)&gt;0, 8,"")</f>
        <v/>
      </c>
      <c r="H33" s="18"/>
      <c r="I33" s="18"/>
      <c r="J33" s="17"/>
      <c r="K33" s="18"/>
      <c r="L33" s="18"/>
      <c r="M33" s="16">
        <f t="shared" si="11"/>
        <v>9</v>
      </c>
      <c r="N33" s="27">
        <f t="shared" si="12"/>
        <v>8</v>
      </c>
      <c r="O33" s="4"/>
      <c r="P33" s="19">
        <v>0.3333333333333333</v>
      </c>
      <c r="Q33" s="20">
        <v>0.6666666666666666</v>
      </c>
      <c r="R33" s="21">
        <f t="shared" ref="R33:R37" si="15">(Q33-P33)*24</f>
        <v>8</v>
      </c>
      <c r="S33" s="4"/>
      <c r="T33" s="4"/>
      <c r="U33" s="4"/>
      <c r="V33" s="4"/>
      <c r="W33" s="4"/>
      <c r="X33" s="4"/>
      <c r="Y33" s="4"/>
      <c r="Z33" s="4"/>
    </row>
    <row r="34">
      <c r="A34" s="15">
        <f t="shared" si="14"/>
        <v>46350</v>
      </c>
      <c r="B34" s="16" t="str">
        <f t="shared" si="10"/>
        <v>Tue</v>
      </c>
      <c r="C34" s="17">
        <v>8.0</v>
      </c>
      <c r="D34" s="17">
        <v>1.0</v>
      </c>
      <c r="E34" s="18"/>
      <c r="F34" s="17"/>
      <c r="G34" s="18" t="str">
        <f>IF(COUNTIF(Holidays!$A$2:$A$12,$A34)&gt;0, 8,"")</f>
        <v/>
      </c>
      <c r="H34" s="18"/>
      <c r="I34" s="18"/>
      <c r="J34" s="17"/>
      <c r="K34" s="18"/>
      <c r="L34" s="18"/>
      <c r="M34" s="16">
        <f t="shared" si="11"/>
        <v>9</v>
      </c>
      <c r="N34" s="27">
        <f t="shared" si="12"/>
        <v>8</v>
      </c>
      <c r="O34" s="4"/>
      <c r="P34" s="19">
        <v>0.3333333333333333</v>
      </c>
      <c r="Q34" s="20">
        <v>0.6666666666666666</v>
      </c>
      <c r="R34" s="21">
        <f t="shared" si="15"/>
        <v>8</v>
      </c>
      <c r="S34" s="4"/>
      <c r="T34" s="4"/>
      <c r="U34" s="4"/>
      <c r="V34" s="4"/>
      <c r="W34" s="4"/>
      <c r="X34" s="4"/>
      <c r="Y34" s="4"/>
      <c r="Z34" s="4"/>
    </row>
    <row r="35">
      <c r="A35" s="15">
        <f t="shared" si="14"/>
        <v>46351</v>
      </c>
      <c r="B35" s="16" t="str">
        <f t="shared" si="10"/>
        <v>Wed</v>
      </c>
      <c r="C35" s="17">
        <v>8.0</v>
      </c>
      <c r="D35" s="17">
        <v>0.5</v>
      </c>
      <c r="E35" s="18"/>
      <c r="F35" s="17"/>
      <c r="G35" s="18" t="str">
        <f>IF(COUNTIF(Holidays!$A$2:$A$12,$A35)&gt;0, 8,"")</f>
        <v/>
      </c>
      <c r="H35" s="18"/>
      <c r="I35" s="18"/>
      <c r="J35" s="17"/>
      <c r="K35" s="18"/>
      <c r="L35" s="18"/>
      <c r="M35" s="16">
        <f t="shared" si="11"/>
        <v>8.5</v>
      </c>
      <c r="N35" s="27">
        <f t="shared" si="12"/>
        <v>8</v>
      </c>
      <c r="O35" s="4"/>
      <c r="P35" s="19">
        <v>0.3333333333333333</v>
      </c>
      <c r="Q35" s="20">
        <v>0.6666666666666666</v>
      </c>
      <c r="R35" s="21">
        <f t="shared" si="15"/>
        <v>8</v>
      </c>
      <c r="S35" s="4"/>
      <c r="T35" s="4"/>
      <c r="U35" s="4"/>
      <c r="V35" s="4"/>
      <c r="W35" s="4"/>
      <c r="X35" s="4"/>
      <c r="Y35" s="4"/>
      <c r="Z35" s="4"/>
    </row>
    <row r="36">
      <c r="A36" s="15">
        <f t="shared" si="14"/>
        <v>46352</v>
      </c>
      <c r="B36" s="16" t="str">
        <f t="shared" si="10"/>
        <v>Thu</v>
      </c>
      <c r="C36" s="17"/>
      <c r="D36" s="18"/>
      <c r="E36" s="18"/>
      <c r="F36" s="18"/>
      <c r="G36" s="18">
        <f>IF(COUNTIF(Holidays!$A$2:$A$12,$A36)&gt;0, 8,"")</f>
        <v>8</v>
      </c>
      <c r="H36" s="18"/>
      <c r="I36" s="18"/>
      <c r="J36" s="18"/>
      <c r="K36" s="18"/>
      <c r="L36" s="18"/>
      <c r="M36" s="16">
        <f t="shared" si="11"/>
        <v>8</v>
      </c>
      <c r="N36" s="27">
        <f t="shared" si="12"/>
        <v>8</v>
      </c>
      <c r="O36" s="4"/>
      <c r="P36" s="19">
        <v>0.3333333333333333</v>
      </c>
      <c r="Q36" s="20">
        <v>0.6666666666666666</v>
      </c>
      <c r="R36" s="21">
        <f t="shared" si="15"/>
        <v>8</v>
      </c>
      <c r="S36" s="4"/>
      <c r="T36" s="4"/>
      <c r="U36" s="4"/>
      <c r="V36" s="4"/>
      <c r="W36" s="4"/>
      <c r="X36" s="4"/>
      <c r="Y36" s="4"/>
      <c r="Z36" s="4"/>
    </row>
    <row r="37">
      <c r="A37" s="15">
        <f t="shared" si="14"/>
        <v>46353</v>
      </c>
      <c r="B37" s="16" t="str">
        <f t="shared" si="10"/>
        <v>Fri</v>
      </c>
      <c r="C37" s="17">
        <v>8.0</v>
      </c>
      <c r="D37" s="17"/>
      <c r="E37" s="18"/>
      <c r="F37" s="17"/>
      <c r="G37" s="18" t="str">
        <f>IF(COUNTIF(Holidays!$A$2:$A$12,$A37)&gt;0, 8,"")</f>
        <v/>
      </c>
      <c r="H37" s="18"/>
      <c r="I37" s="18"/>
      <c r="J37" s="17"/>
      <c r="K37" s="18"/>
      <c r="L37" s="18"/>
      <c r="M37" s="16">
        <f t="shared" si="11"/>
        <v>8</v>
      </c>
      <c r="N37" s="27">
        <f t="shared" si="12"/>
        <v>8</v>
      </c>
      <c r="O37" s="4"/>
      <c r="P37" s="19">
        <v>0.3333333333333333</v>
      </c>
      <c r="Q37" s="20">
        <v>0.6666666666666666</v>
      </c>
      <c r="R37" s="21">
        <f t="shared" si="15"/>
        <v>8</v>
      </c>
      <c r="S37" s="4"/>
      <c r="T37" s="4"/>
      <c r="U37" s="4"/>
      <c r="V37" s="4"/>
      <c r="W37" s="4"/>
      <c r="X37" s="4"/>
      <c r="Y37" s="4"/>
      <c r="Z37" s="4"/>
    </row>
    <row r="38">
      <c r="A38" s="15">
        <f t="shared" si="14"/>
        <v>46354</v>
      </c>
      <c r="B38" s="16" t="str">
        <f t="shared" si="10"/>
        <v>Sat</v>
      </c>
      <c r="C38" s="17"/>
      <c r="D38" s="18"/>
      <c r="E38" s="18"/>
      <c r="F38" s="18"/>
      <c r="G38" s="18" t="str">
        <f>IF(COUNTIF(Holidays!$A$2:$A$12,$A38)&gt;0, 8,"")</f>
        <v/>
      </c>
      <c r="H38" s="18"/>
      <c r="I38" s="18"/>
      <c r="J38" s="18"/>
      <c r="K38" s="18"/>
      <c r="L38" s="18"/>
      <c r="M38" s="16" t="str">
        <f t="shared" si="11"/>
        <v/>
      </c>
      <c r="N38" s="27" t="str">
        <f t="shared" si="12"/>
        <v/>
      </c>
      <c r="O38" s="4"/>
      <c r="P38" s="19"/>
      <c r="Q38" s="20"/>
      <c r="R38" s="21"/>
      <c r="S38" s="4"/>
      <c r="T38" s="4"/>
      <c r="U38" s="4"/>
      <c r="V38" s="4"/>
      <c r="W38" s="4"/>
      <c r="X38" s="4"/>
      <c r="Y38" s="4"/>
      <c r="Z38" s="4"/>
    </row>
    <row r="39">
      <c r="A39" s="15">
        <f t="shared" si="14"/>
        <v>46355</v>
      </c>
      <c r="B39" s="16" t="str">
        <f t="shared" si="10"/>
        <v>Sun</v>
      </c>
      <c r="C39" s="17"/>
      <c r="D39" s="18"/>
      <c r="E39" s="18"/>
      <c r="F39" s="18"/>
      <c r="G39" s="18" t="str">
        <f>IF(COUNTIF(Holidays!$A$2:$A$12,$A39)&gt;0, 8,"")</f>
        <v/>
      </c>
      <c r="H39" s="18"/>
      <c r="I39" s="18"/>
      <c r="J39" s="18"/>
      <c r="K39" s="18"/>
      <c r="L39" s="18"/>
      <c r="M39" s="16" t="str">
        <f t="shared" si="11"/>
        <v/>
      </c>
      <c r="N39" s="27" t="str">
        <f t="shared" si="12"/>
        <v/>
      </c>
      <c r="O39" s="4"/>
      <c r="P39" s="19"/>
      <c r="Q39" s="20"/>
      <c r="R39" s="21"/>
      <c r="S39" s="4"/>
      <c r="T39" s="4"/>
      <c r="U39" s="4"/>
      <c r="V39" s="4"/>
      <c r="W39" s="4"/>
      <c r="X39" s="4"/>
      <c r="Y39" s="4"/>
      <c r="Z39" s="4"/>
    </row>
    <row r="40">
      <c r="A40" s="15">
        <f t="shared" si="14"/>
        <v>46356</v>
      </c>
      <c r="B40" s="16" t="str">
        <f t="shared" si="10"/>
        <v>Mon</v>
      </c>
      <c r="C40" s="17">
        <v>8.0</v>
      </c>
      <c r="D40" s="17">
        <v>1.0</v>
      </c>
      <c r="E40" s="18"/>
      <c r="F40" s="18"/>
      <c r="G40" s="18" t="str">
        <f>IF(COUNTIF(Holidays!$A$2:$A$12,$A40)&gt;0, 8,"")</f>
        <v/>
      </c>
      <c r="H40" s="18"/>
      <c r="I40" s="18"/>
      <c r="J40" s="17"/>
      <c r="K40" s="18"/>
      <c r="L40" s="18"/>
      <c r="M40" s="16">
        <f t="shared" si="11"/>
        <v>9</v>
      </c>
      <c r="N40" s="27">
        <f t="shared" si="12"/>
        <v>8</v>
      </c>
      <c r="O40" s="4"/>
      <c r="P40" s="19">
        <v>0.3333333333333333</v>
      </c>
      <c r="Q40" s="20">
        <v>0.6666666666666666</v>
      </c>
      <c r="R40" s="21">
        <f>(Q40-P40)*24</f>
        <v>8</v>
      </c>
      <c r="S40" s="4"/>
      <c r="T40" s="4"/>
      <c r="U40" s="4"/>
      <c r="V40" s="4"/>
      <c r="W40" s="4"/>
      <c r="X40" s="4"/>
      <c r="Y40" s="4"/>
      <c r="Z40" s="4"/>
    </row>
    <row r="41">
      <c r="A41" s="16"/>
      <c r="B41" s="16"/>
      <c r="C41" s="17"/>
      <c r="D41" s="17"/>
      <c r="E41" s="18"/>
      <c r="F41" s="18"/>
      <c r="G41" s="18"/>
      <c r="H41" s="18"/>
      <c r="I41" s="18"/>
      <c r="J41" s="18"/>
      <c r="K41" s="18"/>
      <c r="L41" s="18"/>
      <c r="M41" s="16"/>
      <c r="N41" s="27"/>
      <c r="O41" s="4"/>
      <c r="P41" s="19"/>
      <c r="Q41" s="20"/>
      <c r="R41" s="21"/>
      <c r="S41" s="4"/>
      <c r="T41" s="4"/>
      <c r="U41" s="4"/>
      <c r="V41" s="4"/>
      <c r="W41" s="4"/>
      <c r="X41" s="4"/>
      <c r="Y41" s="4"/>
      <c r="Z41" s="4"/>
    </row>
    <row r="42">
      <c r="A42" s="2" t="s">
        <v>47</v>
      </c>
      <c r="C42" s="14">
        <f t="shared" ref="C42:N42" si="16">sum(C26:C41)</f>
        <v>80</v>
      </c>
      <c r="D42" s="14">
        <f t="shared" si="16"/>
        <v>6.5</v>
      </c>
      <c r="E42" s="14">
        <f t="shared" si="16"/>
        <v>0</v>
      </c>
      <c r="F42" s="14">
        <f t="shared" si="16"/>
        <v>0</v>
      </c>
      <c r="G42" s="14">
        <f t="shared" si="16"/>
        <v>8</v>
      </c>
      <c r="H42" s="14">
        <f t="shared" si="16"/>
        <v>0</v>
      </c>
      <c r="I42" s="14">
        <f t="shared" si="16"/>
        <v>0</v>
      </c>
      <c r="J42" s="14">
        <f t="shared" si="16"/>
        <v>0</v>
      </c>
      <c r="K42" s="14">
        <f t="shared" si="16"/>
        <v>0</v>
      </c>
      <c r="L42" s="14">
        <f t="shared" si="16"/>
        <v>0</v>
      </c>
      <c r="M42" s="14">
        <f t="shared" si="16"/>
        <v>94.5</v>
      </c>
      <c r="N42" s="26">
        <f t="shared" si="16"/>
        <v>88</v>
      </c>
      <c r="O42" s="4"/>
      <c r="P42" s="4"/>
      <c r="Q42" s="4"/>
      <c r="R42" s="24">
        <f>sum(R25:R41)</f>
        <v>88</v>
      </c>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4">
    <mergeCell ref="M2:N2"/>
    <mergeCell ref="P2:Q2"/>
    <mergeCell ref="A22:B22"/>
    <mergeCell ref="A42:B42"/>
  </mergeCells>
  <conditionalFormatting sqref="C7:L21 C26:L41">
    <cfRule type="expression" dxfId="0" priority="1">
      <formula>OR($B7="Sat", $B7="Sun")</formula>
    </cfRule>
  </conditionalFormatting>
  <conditionalFormatting sqref="C7:L21 C26:L41">
    <cfRule type="notContainsBlanks" dxfId="1" priority="2">
      <formula>LEN(TRIM(C7))&gt;0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s>
  <sheetData>
    <row r="1">
      <c r="A1" s="2" t="s">
        <v>66</v>
      </c>
      <c r="B1" s="2" t="s">
        <v>4</v>
      </c>
      <c r="C1" s="2" t="s">
        <v>6</v>
      </c>
      <c r="D1" s="2" t="s">
        <v>7</v>
      </c>
      <c r="E1" s="2" t="s">
        <v>9</v>
      </c>
      <c r="F1" s="4"/>
      <c r="G1" s="4"/>
      <c r="H1" s="4"/>
      <c r="I1" s="4"/>
      <c r="J1" s="4"/>
      <c r="K1" s="4"/>
      <c r="L1" s="4"/>
      <c r="M1" s="4"/>
      <c r="N1" s="4"/>
      <c r="O1" s="4"/>
      <c r="P1" s="4"/>
      <c r="Q1" s="4"/>
      <c r="R1" s="4"/>
      <c r="S1" s="4"/>
      <c r="T1" s="4"/>
      <c r="U1" s="4"/>
      <c r="V1" s="4"/>
      <c r="W1" s="4"/>
      <c r="X1" s="4"/>
      <c r="Y1" s="4"/>
      <c r="Z1" s="4"/>
    </row>
    <row r="2">
      <c r="A2" s="8" t="s">
        <v>13</v>
      </c>
      <c r="B2" s="12">
        <f t="array" ref="B2">INDIRECT(TEXT(EDATE(DATE(2026, MATCH($A$1, {"January","February","March","April","May","June","July","August","September","October","November","December"}, 0), 1), -1), "mmm") &amp; " 26!B4")</f>
        <v>98.5</v>
      </c>
      <c r="C2" s="12">
        <f t="array" ref="C2">INDIRECT(TEXT(EDATE(DATE(2026, MATCH($A$1, {"January","February","March","April","May","June","July","August","September","October","November","December"}, 0), 1), -1), "mmm") &amp; " 26!C4")</f>
        <v>22.75</v>
      </c>
      <c r="D2" s="12">
        <f t="array" ref="D2">INDIRECT(TEXT(EDATE(DATE(2026, MATCH($A$1, {"January","February","March","April","May","June","July","August","September","October","November","December"}, 0), 1), -1), "mmm") &amp; " 26!D4")</f>
        <v>8</v>
      </c>
      <c r="E2" s="12">
        <f t="array" ref="E2">INDIRECT(TEXT(EDATE(DATE(2026, MATCH($A$1, {"January","February","March","April","May","June","July","August","September","October","November","December"}, 0), 1), -1), "mmm") &amp; " 26!E4")</f>
        <v>40</v>
      </c>
      <c r="F2" s="4"/>
      <c r="G2" s="2" t="s">
        <v>8</v>
      </c>
      <c r="H2" s="12">
        <f>'START HERE'!B6</f>
        <v>5</v>
      </c>
      <c r="I2" s="4"/>
      <c r="J2" s="4"/>
      <c r="K2" s="4"/>
      <c r="L2" s="4"/>
      <c r="M2" s="13"/>
      <c r="O2" s="4"/>
      <c r="P2" s="13"/>
      <c r="R2" s="4"/>
      <c r="S2" s="4"/>
      <c r="T2" s="4"/>
      <c r="U2" s="4"/>
      <c r="V2" s="4"/>
      <c r="W2" s="4"/>
      <c r="X2" s="4"/>
      <c r="Y2" s="4"/>
      <c r="Z2" s="4"/>
    </row>
    <row r="3">
      <c r="A3" s="8" t="s">
        <v>23</v>
      </c>
      <c r="B3" s="12">
        <f>B2+H2-F22</f>
        <v>103.5</v>
      </c>
      <c r="C3" s="12">
        <f>C2+D22-E22</f>
        <v>29.75</v>
      </c>
      <c r="D3" s="12">
        <f t="shared" ref="D3:E3" si="1">D2-I22</f>
        <v>8</v>
      </c>
      <c r="E3" s="12">
        <f t="shared" si="1"/>
        <v>40</v>
      </c>
      <c r="F3" s="4"/>
      <c r="G3" s="4"/>
      <c r="H3" s="4"/>
      <c r="I3" s="4"/>
      <c r="J3" s="4"/>
      <c r="K3" s="4"/>
      <c r="L3" s="4"/>
      <c r="M3" s="4"/>
      <c r="N3" s="4"/>
      <c r="O3" s="4"/>
      <c r="P3" s="4"/>
      <c r="Q3" s="4"/>
      <c r="R3" s="4"/>
      <c r="S3" s="4"/>
      <c r="T3" s="4"/>
      <c r="U3" s="4"/>
      <c r="V3" s="4"/>
      <c r="W3" s="4"/>
      <c r="X3" s="4"/>
      <c r="Y3" s="4"/>
      <c r="Z3" s="4"/>
    </row>
    <row r="4">
      <c r="A4" s="8" t="s">
        <v>25</v>
      </c>
      <c r="B4" s="12">
        <f>B3+H2-F42</f>
        <v>100.5</v>
      </c>
      <c r="C4" s="12">
        <f>C3+D42-E42</f>
        <v>36.25</v>
      </c>
      <c r="D4" s="12">
        <f t="shared" ref="D4:E4" si="2">D3-I42</f>
        <v>8</v>
      </c>
      <c r="E4" s="12">
        <f t="shared" si="2"/>
        <v>40</v>
      </c>
      <c r="F4" s="4"/>
      <c r="G4" s="4"/>
      <c r="H4" s="4"/>
      <c r="I4" s="4"/>
      <c r="J4" s="4"/>
      <c r="K4" s="4"/>
      <c r="L4" s="4"/>
      <c r="M4" s="4"/>
      <c r="N4" s="4"/>
      <c r="O4" s="4"/>
      <c r="P4" s="4"/>
      <c r="Q4" s="4"/>
      <c r="R4" s="4"/>
      <c r="S4" s="4"/>
      <c r="T4" s="4"/>
      <c r="U4" s="4"/>
      <c r="V4" s="4"/>
      <c r="W4" s="4"/>
      <c r="X4" s="4"/>
      <c r="Y4" s="4"/>
      <c r="Z4" s="4"/>
    </row>
    <row r="5">
      <c r="A5" s="4"/>
      <c r="B5" s="4"/>
      <c r="C5" s="4"/>
      <c r="D5" s="4"/>
      <c r="E5" s="4"/>
      <c r="F5" s="4"/>
      <c r="G5" s="4"/>
      <c r="H5" s="4"/>
      <c r="I5" s="4"/>
      <c r="J5" s="4"/>
      <c r="K5" s="4"/>
      <c r="L5" s="4"/>
      <c r="M5" s="4"/>
      <c r="N5" s="4"/>
      <c r="O5" s="4"/>
      <c r="P5" s="13" t="s">
        <v>26</v>
      </c>
      <c r="Q5" s="13" t="s">
        <v>27</v>
      </c>
      <c r="R5" s="13" t="s">
        <v>28</v>
      </c>
      <c r="S5" s="4"/>
      <c r="T5" s="4"/>
      <c r="U5" s="4"/>
      <c r="V5" s="4"/>
      <c r="W5" s="4"/>
      <c r="X5" s="4"/>
      <c r="Y5" s="4"/>
      <c r="Z5" s="4"/>
    </row>
    <row r="6">
      <c r="A6" s="2" t="s">
        <v>29</v>
      </c>
      <c r="B6" s="2" t="s">
        <v>30</v>
      </c>
      <c r="C6" s="14" t="str">
        <f t="array" ref="C6:L6">TRANSPOSE('Time Types'!A2:A11)</f>
        <v>Regular</v>
      </c>
      <c r="D6" s="14" t="s">
        <v>31</v>
      </c>
      <c r="E6" s="14" t="s">
        <v>32</v>
      </c>
      <c r="F6" s="14" t="s">
        <v>12</v>
      </c>
      <c r="G6" s="14" t="s">
        <v>33</v>
      </c>
      <c r="H6" s="14" t="s">
        <v>34</v>
      </c>
      <c r="I6" s="14" t="s">
        <v>14</v>
      </c>
      <c r="J6" s="14" t="s">
        <v>16</v>
      </c>
      <c r="K6" s="14" t="s">
        <v>35</v>
      </c>
      <c r="L6" s="14" t="s">
        <v>36</v>
      </c>
      <c r="M6" s="2" t="s">
        <v>37</v>
      </c>
      <c r="N6" s="26" t="s">
        <v>38</v>
      </c>
      <c r="O6" s="4"/>
      <c r="P6" s="20"/>
      <c r="Q6" s="20"/>
      <c r="R6" s="21"/>
      <c r="S6" s="4"/>
      <c r="T6" s="4"/>
      <c r="U6" s="4"/>
      <c r="V6" s="4"/>
      <c r="W6" s="4"/>
      <c r="X6" s="4"/>
      <c r="Y6" s="4"/>
      <c r="Z6" s="4"/>
    </row>
    <row r="7">
      <c r="A7" s="15">
        <f>DATE(2026, MONTH(DATEVALUE($A$1 &amp; " 1")), 1)</f>
        <v>46357</v>
      </c>
      <c r="B7" s="16" t="str">
        <f t="shared" ref="B7:B21" si="3">text(A7,"ddd")</f>
        <v>Tue</v>
      </c>
      <c r="C7" s="17">
        <v>8.0</v>
      </c>
      <c r="D7" s="17">
        <v>1.0</v>
      </c>
      <c r="E7" s="18"/>
      <c r="F7" s="18"/>
      <c r="G7" s="18" t="str">
        <f>IF(COUNTIF(Holidays!$A$2:$A$12,$A7)&gt;0, 8,"")</f>
        <v/>
      </c>
      <c r="H7" s="18"/>
      <c r="I7" s="18"/>
      <c r="J7" s="18"/>
      <c r="K7" s="18"/>
      <c r="L7" s="18"/>
      <c r="M7" s="16">
        <f t="shared" ref="M7:M21" si="4">IF(OR(B7="Sat", B7="Sun"), "", sum(C7:J7))</f>
        <v>9</v>
      </c>
      <c r="N7" s="27">
        <f t="shared" ref="N7:N21" si="5">IF(OR(B7="Sat", B7="Sun"), "", 8)</f>
        <v>8</v>
      </c>
      <c r="O7" s="4"/>
      <c r="P7" s="19">
        <v>0.3333333333333333</v>
      </c>
      <c r="Q7" s="20">
        <v>0.6666666666666666</v>
      </c>
      <c r="R7" s="21">
        <f t="shared" ref="R7:R10" si="6">(Q7-P7)*24</f>
        <v>8</v>
      </c>
      <c r="S7" s="4"/>
      <c r="T7" s="4"/>
      <c r="U7" s="4"/>
      <c r="V7" s="4"/>
      <c r="W7" s="4"/>
      <c r="X7" s="4"/>
      <c r="Y7" s="4"/>
      <c r="Z7" s="4"/>
    </row>
    <row r="8">
      <c r="A8" s="15">
        <f t="shared" ref="A8:A21" si="7">A7+1</f>
        <v>46358</v>
      </c>
      <c r="B8" s="16" t="str">
        <f t="shared" si="3"/>
        <v>Wed</v>
      </c>
      <c r="C8" s="17">
        <v>8.0</v>
      </c>
      <c r="D8" s="17">
        <v>0.5</v>
      </c>
      <c r="E8" s="18"/>
      <c r="F8" s="18"/>
      <c r="G8" s="18" t="str">
        <f>IF(COUNTIF(Holidays!$A$2:$A$12,$A8)&gt;0, 8,"")</f>
        <v/>
      </c>
      <c r="H8" s="18"/>
      <c r="I8" s="18"/>
      <c r="J8" s="18"/>
      <c r="K8" s="18"/>
      <c r="L8" s="18"/>
      <c r="M8" s="16">
        <f t="shared" si="4"/>
        <v>8.5</v>
      </c>
      <c r="N8" s="27">
        <f t="shared" si="5"/>
        <v>8</v>
      </c>
      <c r="O8" s="4"/>
      <c r="P8" s="19">
        <v>0.3333333333333333</v>
      </c>
      <c r="Q8" s="20">
        <v>0.6666666666666666</v>
      </c>
      <c r="R8" s="21">
        <f t="shared" si="6"/>
        <v>8</v>
      </c>
      <c r="S8" s="4"/>
      <c r="T8" s="4"/>
      <c r="U8" s="4"/>
      <c r="V8" s="4"/>
      <c r="W8" s="4"/>
      <c r="X8" s="4"/>
      <c r="Y8" s="4"/>
      <c r="Z8" s="4"/>
    </row>
    <row r="9">
      <c r="A9" s="15">
        <f t="shared" si="7"/>
        <v>46359</v>
      </c>
      <c r="B9" s="16" t="str">
        <f t="shared" si="3"/>
        <v>Thu</v>
      </c>
      <c r="C9" s="17">
        <v>8.0</v>
      </c>
      <c r="D9" s="17">
        <v>0.5</v>
      </c>
      <c r="E9" s="18"/>
      <c r="F9" s="18"/>
      <c r="G9" s="18" t="str">
        <f>IF(COUNTIF(Holidays!$A$2:$A$12,$A9)&gt;0, 8,"")</f>
        <v/>
      </c>
      <c r="H9" s="18"/>
      <c r="I9" s="18"/>
      <c r="J9" s="18"/>
      <c r="K9" s="18"/>
      <c r="L9" s="18"/>
      <c r="M9" s="16">
        <f t="shared" si="4"/>
        <v>8.5</v>
      </c>
      <c r="N9" s="27">
        <f t="shared" si="5"/>
        <v>8</v>
      </c>
      <c r="O9" s="4"/>
      <c r="P9" s="19">
        <v>0.3333333333333333</v>
      </c>
      <c r="Q9" s="20">
        <v>0.6666666666666666</v>
      </c>
      <c r="R9" s="21">
        <f t="shared" si="6"/>
        <v>8</v>
      </c>
      <c r="S9" s="4"/>
      <c r="T9" s="4"/>
      <c r="U9" s="4"/>
      <c r="V9" s="4"/>
      <c r="W9" s="4"/>
      <c r="X9" s="4"/>
      <c r="Y9" s="4"/>
      <c r="Z9" s="4"/>
    </row>
    <row r="10">
      <c r="A10" s="15">
        <f t="shared" si="7"/>
        <v>46360</v>
      </c>
      <c r="B10" s="16" t="str">
        <f t="shared" si="3"/>
        <v>Fri</v>
      </c>
      <c r="C10" s="17">
        <v>8.0</v>
      </c>
      <c r="D10" s="17"/>
      <c r="E10" s="18"/>
      <c r="F10" s="18"/>
      <c r="G10" s="18" t="str">
        <f>IF(COUNTIF(Holidays!$A$2:$A$12,$A10)&gt;0, 8,"")</f>
        <v/>
      </c>
      <c r="H10" s="18"/>
      <c r="I10" s="18"/>
      <c r="J10" s="18"/>
      <c r="K10" s="18"/>
      <c r="L10" s="18"/>
      <c r="M10" s="16">
        <f t="shared" si="4"/>
        <v>8</v>
      </c>
      <c r="N10" s="27">
        <f t="shared" si="5"/>
        <v>8</v>
      </c>
      <c r="O10" s="4"/>
      <c r="P10" s="19">
        <v>0.3333333333333333</v>
      </c>
      <c r="Q10" s="20">
        <v>0.6666666666666666</v>
      </c>
      <c r="R10" s="21">
        <f t="shared" si="6"/>
        <v>8</v>
      </c>
      <c r="S10" s="4"/>
      <c r="T10" s="4"/>
      <c r="U10" s="4"/>
      <c r="V10" s="4"/>
      <c r="W10" s="4"/>
      <c r="X10" s="4"/>
      <c r="Y10" s="4"/>
      <c r="Z10" s="4"/>
    </row>
    <row r="11">
      <c r="A11" s="15">
        <f t="shared" si="7"/>
        <v>46361</v>
      </c>
      <c r="B11" s="16" t="str">
        <f t="shared" si="3"/>
        <v>Sat</v>
      </c>
      <c r="C11" s="17"/>
      <c r="D11" s="17"/>
      <c r="E11" s="18"/>
      <c r="F11" s="18"/>
      <c r="G11" s="18" t="str">
        <f>IF(COUNTIF(Holidays!$A$2:$A$12,$A11)&gt;0, 8,"")</f>
        <v/>
      </c>
      <c r="H11" s="18"/>
      <c r="I11" s="18"/>
      <c r="J11" s="18"/>
      <c r="K11" s="18"/>
      <c r="L11" s="18"/>
      <c r="M11" s="16" t="str">
        <f t="shared" si="4"/>
        <v/>
      </c>
      <c r="N11" s="27" t="str">
        <f t="shared" si="5"/>
        <v/>
      </c>
      <c r="O11" s="4"/>
      <c r="P11" s="19"/>
      <c r="Q11" s="20"/>
      <c r="R11" s="21"/>
      <c r="S11" s="4"/>
      <c r="T11" s="4"/>
      <c r="U11" s="4"/>
      <c r="V11" s="4"/>
      <c r="W11" s="4"/>
      <c r="X11" s="4"/>
      <c r="Y11" s="4"/>
      <c r="Z11" s="4"/>
    </row>
    <row r="12">
      <c r="A12" s="15">
        <f t="shared" si="7"/>
        <v>46362</v>
      </c>
      <c r="B12" s="16" t="str">
        <f t="shared" si="3"/>
        <v>Sun</v>
      </c>
      <c r="C12" s="17"/>
      <c r="D12" s="18"/>
      <c r="E12" s="18"/>
      <c r="F12" s="18"/>
      <c r="G12" s="18" t="str">
        <f>IF(COUNTIF(Holidays!$A$2:$A$12,$A12)&gt;0, 8,"")</f>
        <v/>
      </c>
      <c r="H12" s="18"/>
      <c r="I12" s="18"/>
      <c r="J12" s="18"/>
      <c r="K12" s="18"/>
      <c r="L12" s="18"/>
      <c r="M12" s="16" t="str">
        <f t="shared" si="4"/>
        <v/>
      </c>
      <c r="N12" s="27" t="str">
        <f t="shared" si="5"/>
        <v/>
      </c>
      <c r="O12" s="4"/>
      <c r="P12" s="19"/>
      <c r="Q12" s="20"/>
      <c r="R12" s="21"/>
      <c r="S12" s="4"/>
      <c r="T12" s="4"/>
      <c r="U12" s="4"/>
      <c r="V12" s="4"/>
      <c r="W12" s="4"/>
      <c r="X12" s="4"/>
      <c r="Y12" s="4"/>
      <c r="Z12" s="4"/>
    </row>
    <row r="13">
      <c r="A13" s="15">
        <f t="shared" si="7"/>
        <v>46363</v>
      </c>
      <c r="B13" s="16" t="str">
        <f t="shared" si="3"/>
        <v>Mon</v>
      </c>
      <c r="C13" s="17">
        <v>8.0</v>
      </c>
      <c r="D13" s="17">
        <v>1.0</v>
      </c>
      <c r="E13" s="18"/>
      <c r="F13" s="18"/>
      <c r="G13" s="18" t="str">
        <f>IF(COUNTIF(Holidays!$A$2:$A$12,$A13)&gt;0, 8,"")</f>
        <v/>
      </c>
      <c r="H13" s="18"/>
      <c r="I13" s="18"/>
      <c r="J13" s="18"/>
      <c r="K13" s="18"/>
      <c r="L13" s="18"/>
      <c r="M13" s="16">
        <f t="shared" si="4"/>
        <v>9</v>
      </c>
      <c r="N13" s="27">
        <f t="shared" si="5"/>
        <v>8</v>
      </c>
      <c r="O13" s="4"/>
      <c r="P13" s="19">
        <v>0.3333333333333333</v>
      </c>
      <c r="Q13" s="20">
        <v>0.6666666666666666</v>
      </c>
      <c r="R13" s="21">
        <f t="shared" ref="R13:R17" si="8">(Q13-P13)*24</f>
        <v>8</v>
      </c>
      <c r="S13" s="4"/>
      <c r="T13" s="4"/>
      <c r="U13" s="4"/>
      <c r="V13" s="4"/>
      <c r="W13" s="4"/>
      <c r="X13" s="4"/>
      <c r="Y13" s="4"/>
      <c r="Z13" s="4"/>
    </row>
    <row r="14">
      <c r="A14" s="15">
        <f t="shared" si="7"/>
        <v>46364</v>
      </c>
      <c r="B14" s="16" t="str">
        <f t="shared" si="3"/>
        <v>Tue</v>
      </c>
      <c r="C14" s="17">
        <v>8.0</v>
      </c>
      <c r="D14" s="17">
        <v>1.0</v>
      </c>
      <c r="E14" s="18"/>
      <c r="F14" s="18"/>
      <c r="G14" s="18" t="str">
        <f>IF(COUNTIF(Holidays!$A$2:$A$12,$A14)&gt;0, 8,"")</f>
        <v/>
      </c>
      <c r="H14" s="18"/>
      <c r="I14" s="18"/>
      <c r="J14" s="18"/>
      <c r="K14" s="18"/>
      <c r="L14" s="18"/>
      <c r="M14" s="16">
        <f t="shared" si="4"/>
        <v>9</v>
      </c>
      <c r="N14" s="27">
        <f t="shared" si="5"/>
        <v>8</v>
      </c>
      <c r="O14" s="4"/>
      <c r="P14" s="19">
        <v>0.3333333333333333</v>
      </c>
      <c r="Q14" s="20">
        <v>0.6666666666666666</v>
      </c>
      <c r="R14" s="21">
        <f t="shared" si="8"/>
        <v>8</v>
      </c>
      <c r="S14" s="4"/>
      <c r="T14" s="4"/>
      <c r="U14" s="4"/>
      <c r="V14" s="4"/>
      <c r="W14" s="4"/>
      <c r="X14" s="4"/>
      <c r="Y14" s="4"/>
      <c r="Z14" s="4"/>
    </row>
    <row r="15">
      <c r="A15" s="15">
        <f t="shared" si="7"/>
        <v>46365</v>
      </c>
      <c r="B15" s="16" t="str">
        <f t="shared" si="3"/>
        <v>Wed</v>
      </c>
      <c r="C15" s="17">
        <v>8.0</v>
      </c>
      <c r="D15" s="17">
        <v>0.5</v>
      </c>
      <c r="E15" s="18"/>
      <c r="F15" s="18"/>
      <c r="G15" s="18" t="str">
        <f>IF(COUNTIF(Holidays!$A$2:$A$12,$A15)&gt;0, 8,"")</f>
        <v/>
      </c>
      <c r="H15" s="18"/>
      <c r="I15" s="18"/>
      <c r="J15" s="18"/>
      <c r="K15" s="18"/>
      <c r="L15" s="18"/>
      <c r="M15" s="16">
        <f t="shared" si="4"/>
        <v>8.5</v>
      </c>
      <c r="N15" s="27">
        <f t="shared" si="5"/>
        <v>8</v>
      </c>
      <c r="O15" s="4"/>
      <c r="P15" s="19">
        <v>0.3333333333333333</v>
      </c>
      <c r="Q15" s="20">
        <v>0.6666666666666666</v>
      </c>
      <c r="R15" s="21">
        <f t="shared" si="8"/>
        <v>8</v>
      </c>
      <c r="S15" s="4"/>
      <c r="T15" s="4"/>
      <c r="U15" s="4"/>
      <c r="V15" s="4"/>
      <c r="W15" s="4"/>
      <c r="X15" s="4"/>
      <c r="Y15" s="4"/>
      <c r="Z15" s="4"/>
    </row>
    <row r="16">
      <c r="A16" s="15">
        <f t="shared" si="7"/>
        <v>46366</v>
      </c>
      <c r="B16" s="16" t="str">
        <f t="shared" si="3"/>
        <v>Thu</v>
      </c>
      <c r="C16" s="17">
        <v>8.0</v>
      </c>
      <c r="D16" s="17">
        <v>0.5</v>
      </c>
      <c r="E16" s="18"/>
      <c r="F16" s="18"/>
      <c r="G16" s="18" t="str">
        <f>IF(COUNTIF(Holidays!$A$2:$A$12,$A16)&gt;0, 8,"")</f>
        <v/>
      </c>
      <c r="H16" s="18"/>
      <c r="I16" s="18"/>
      <c r="J16" s="18"/>
      <c r="K16" s="18"/>
      <c r="L16" s="18"/>
      <c r="M16" s="16">
        <f t="shared" si="4"/>
        <v>8.5</v>
      </c>
      <c r="N16" s="27">
        <f t="shared" si="5"/>
        <v>8</v>
      </c>
      <c r="O16" s="4"/>
      <c r="P16" s="19">
        <v>0.3333333333333333</v>
      </c>
      <c r="Q16" s="20">
        <v>0.6666666666666666</v>
      </c>
      <c r="R16" s="21">
        <f t="shared" si="8"/>
        <v>8</v>
      </c>
      <c r="S16" s="4"/>
      <c r="T16" s="4"/>
      <c r="U16" s="4"/>
      <c r="V16" s="4"/>
      <c r="W16" s="4"/>
      <c r="X16" s="4"/>
      <c r="Y16" s="4"/>
      <c r="Z16" s="4"/>
    </row>
    <row r="17">
      <c r="A17" s="15">
        <f t="shared" si="7"/>
        <v>46367</v>
      </c>
      <c r="B17" s="16" t="str">
        <f t="shared" si="3"/>
        <v>Fri</v>
      </c>
      <c r="C17" s="17">
        <v>8.0</v>
      </c>
      <c r="D17" s="17"/>
      <c r="E17" s="18"/>
      <c r="F17" s="18"/>
      <c r="G17" s="18" t="str">
        <f>IF(COUNTIF(Holidays!$A$2:$A$12,$A17)&gt;0, 8,"")</f>
        <v/>
      </c>
      <c r="H17" s="18"/>
      <c r="I17" s="18"/>
      <c r="J17" s="18"/>
      <c r="K17" s="18"/>
      <c r="L17" s="18"/>
      <c r="M17" s="16">
        <f t="shared" si="4"/>
        <v>8</v>
      </c>
      <c r="N17" s="27">
        <f t="shared" si="5"/>
        <v>8</v>
      </c>
      <c r="O17" s="4"/>
      <c r="P17" s="19">
        <v>0.3333333333333333</v>
      </c>
      <c r="Q17" s="20">
        <v>0.6666666666666666</v>
      </c>
      <c r="R17" s="21">
        <f t="shared" si="8"/>
        <v>8</v>
      </c>
      <c r="S17" s="4"/>
      <c r="T17" s="4"/>
      <c r="U17" s="4"/>
      <c r="V17" s="4"/>
      <c r="W17" s="4"/>
      <c r="X17" s="4"/>
      <c r="Y17" s="4"/>
      <c r="Z17" s="4"/>
    </row>
    <row r="18">
      <c r="A18" s="15">
        <f t="shared" si="7"/>
        <v>46368</v>
      </c>
      <c r="B18" s="16" t="str">
        <f t="shared" si="3"/>
        <v>Sat</v>
      </c>
      <c r="C18" s="17"/>
      <c r="D18" s="18"/>
      <c r="E18" s="18"/>
      <c r="F18" s="18"/>
      <c r="G18" s="18" t="str">
        <f>IF(COUNTIF(Holidays!$A$2:$A$12,$A18)&gt;0, 8,"")</f>
        <v/>
      </c>
      <c r="H18" s="18"/>
      <c r="I18" s="18"/>
      <c r="J18" s="18"/>
      <c r="K18" s="18"/>
      <c r="L18" s="18"/>
      <c r="M18" s="16" t="str">
        <f t="shared" si="4"/>
        <v/>
      </c>
      <c r="N18" s="27" t="str">
        <f t="shared" si="5"/>
        <v/>
      </c>
      <c r="O18" s="4"/>
      <c r="P18" s="19"/>
      <c r="Q18" s="20"/>
      <c r="R18" s="21"/>
      <c r="S18" s="4"/>
      <c r="T18" s="4"/>
      <c r="U18" s="4"/>
      <c r="V18" s="4"/>
      <c r="W18" s="4"/>
      <c r="X18" s="4"/>
      <c r="Y18" s="4"/>
      <c r="Z18" s="4"/>
    </row>
    <row r="19">
      <c r="A19" s="15">
        <f t="shared" si="7"/>
        <v>46369</v>
      </c>
      <c r="B19" s="16" t="str">
        <f t="shared" si="3"/>
        <v>Sun</v>
      </c>
      <c r="C19" s="17"/>
      <c r="D19" s="18"/>
      <c r="E19" s="18"/>
      <c r="F19" s="18"/>
      <c r="G19" s="18" t="str">
        <f>IF(COUNTIF(Holidays!$A$2:$A$12,$A19)&gt;0, 8,"")</f>
        <v/>
      </c>
      <c r="H19" s="18"/>
      <c r="I19" s="18"/>
      <c r="J19" s="18"/>
      <c r="K19" s="18"/>
      <c r="L19" s="18"/>
      <c r="M19" s="16" t="str">
        <f t="shared" si="4"/>
        <v/>
      </c>
      <c r="N19" s="27" t="str">
        <f t="shared" si="5"/>
        <v/>
      </c>
      <c r="O19" s="4"/>
      <c r="P19" s="19"/>
      <c r="Q19" s="20"/>
      <c r="R19" s="21"/>
      <c r="S19" s="4"/>
      <c r="T19" s="4"/>
      <c r="U19" s="4"/>
      <c r="V19" s="4"/>
      <c r="W19" s="4"/>
      <c r="X19" s="4"/>
      <c r="Y19" s="4"/>
      <c r="Z19" s="4"/>
    </row>
    <row r="20">
      <c r="A20" s="15">
        <f t="shared" si="7"/>
        <v>46370</v>
      </c>
      <c r="B20" s="16" t="str">
        <f t="shared" si="3"/>
        <v>Mon</v>
      </c>
      <c r="C20" s="17">
        <v>8.0</v>
      </c>
      <c r="D20" s="17">
        <v>1.0</v>
      </c>
      <c r="E20" s="18"/>
      <c r="F20" s="18"/>
      <c r="G20" s="18" t="str">
        <f>IF(COUNTIF(Holidays!$A$2:$A$12,$A20)&gt;0, 8,"")</f>
        <v/>
      </c>
      <c r="H20" s="18"/>
      <c r="I20" s="18"/>
      <c r="J20" s="18"/>
      <c r="K20" s="18"/>
      <c r="L20" s="18"/>
      <c r="M20" s="16">
        <f t="shared" si="4"/>
        <v>9</v>
      </c>
      <c r="N20" s="27">
        <f t="shared" si="5"/>
        <v>8</v>
      </c>
      <c r="O20" s="4"/>
      <c r="P20" s="19">
        <v>0.3333333333333333</v>
      </c>
      <c r="Q20" s="20">
        <v>0.6666666666666666</v>
      </c>
      <c r="R20" s="21">
        <f t="shared" ref="R20:R21" si="9">(Q20-P20)*24</f>
        <v>8</v>
      </c>
      <c r="S20" s="4"/>
      <c r="T20" s="4"/>
      <c r="U20" s="4"/>
      <c r="V20" s="4"/>
      <c r="W20" s="4"/>
      <c r="X20" s="4"/>
      <c r="Y20" s="4"/>
      <c r="Z20" s="4"/>
    </row>
    <row r="21">
      <c r="A21" s="15">
        <f t="shared" si="7"/>
        <v>46371</v>
      </c>
      <c r="B21" s="16" t="str">
        <f t="shared" si="3"/>
        <v>Tue</v>
      </c>
      <c r="C21" s="17">
        <v>8.0</v>
      </c>
      <c r="D21" s="17">
        <v>1.0</v>
      </c>
      <c r="E21" s="18"/>
      <c r="F21" s="18"/>
      <c r="G21" s="18" t="str">
        <f>IF(COUNTIF(Holidays!$A$2:$A$12,$A21)&gt;0, 8,"")</f>
        <v/>
      </c>
      <c r="H21" s="18"/>
      <c r="I21" s="18"/>
      <c r="J21" s="18"/>
      <c r="K21" s="18"/>
      <c r="L21" s="18"/>
      <c r="M21" s="16">
        <f t="shared" si="4"/>
        <v>9</v>
      </c>
      <c r="N21" s="27">
        <f t="shared" si="5"/>
        <v>8</v>
      </c>
      <c r="O21" s="4"/>
      <c r="P21" s="19">
        <v>0.3333333333333333</v>
      </c>
      <c r="Q21" s="20">
        <v>0.6666666666666666</v>
      </c>
      <c r="R21" s="21">
        <f t="shared" si="9"/>
        <v>8</v>
      </c>
      <c r="S21" s="4"/>
      <c r="T21" s="4"/>
      <c r="U21" s="4"/>
      <c r="V21" s="4"/>
      <c r="W21" s="4"/>
      <c r="X21" s="4"/>
      <c r="Y21" s="4"/>
      <c r="Z21" s="4"/>
    </row>
    <row r="22">
      <c r="A22" s="2" t="s">
        <v>47</v>
      </c>
      <c r="C22" s="14">
        <f t="shared" ref="C22:N22" si="10">sum(C7:C21)</f>
        <v>88</v>
      </c>
      <c r="D22" s="14">
        <f t="shared" si="10"/>
        <v>7</v>
      </c>
      <c r="E22" s="14">
        <f t="shared" si="10"/>
        <v>0</v>
      </c>
      <c r="F22" s="14">
        <f t="shared" si="10"/>
        <v>0</v>
      </c>
      <c r="G22" s="14">
        <f t="shared" si="10"/>
        <v>0</v>
      </c>
      <c r="H22" s="14">
        <f t="shared" si="10"/>
        <v>0</v>
      </c>
      <c r="I22" s="14">
        <f t="shared" si="10"/>
        <v>0</v>
      </c>
      <c r="J22" s="14">
        <f t="shared" si="10"/>
        <v>0</v>
      </c>
      <c r="K22" s="14">
        <f t="shared" si="10"/>
        <v>0</v>
      </c>
      <c r="L22" s="14">
        <f t="shared" si="10"/>
        <v>0</v>
      </c>
      <c r="M22" s="14">
        <f t="shared" si="10"/>
        <v>95</v>
      </c>
      <c r="N22" s="26">
        <f t="shared" si="10"/>
        <v>88</v>
      </c>
      <c r="O22" s="4"/>
      <c r="P22" s="4"/>
      <c r="Q22" s="4"/>
      <c r="R22" s="24">
        <f>sum(R7:R21)</f>
        <v>88</v>
      </c>
      <c r="S22" s="4"/>
      <c r="T22" s="4"/>
      <c r="U22" s="4"/>
      <c r="V22" s="4"/>
      <c r="W22" s="4"/>
      <c r="X22" s="4"/>
      <c r="Y22" s="4"/>
      <c r="Z22" s="4"/>
    </row>
    <row r="23">
      <c r="A23" s="4"/>
      <c r="B23" s="4"/>
      <c r="C23" s="4"/>
      <c r="D23" s="4"/>
      <c r="E23" s="4"/>
      <c r="F23" s="4"/>
      <c r="G23" s="4"/>
      <c r="H23" s="4"/>
      <c r="I23" s="4"/>
      <c r="J23" s="4"/>
      <c r="K23" s="4"/>
      <c r="L23" s="4"/>
      <c r="M23" s="4"/>
      <c r="N23" s="29"/>
      <c r="O23" s="4"/>
      <c r="P23" s="4"/>
      <c r="Q23" s="4"/>
      <c r="R23" s="4"/>
      <c r="S23" s="4"/>
      <c r="T23" s="4"/>
      <c r="U23" s="4"/>
      <c r="V23" s="4"/>
      <c r="W23" s="4"/>
      <c r="X23" s="4"/>
      <c r="Y23" s="4"/>
      <c r="Z23" s="4"/>
    </row>
    <row r="24">
      <c r="A24" s="4"/>
      <c r="B24" s="4"/>
      <c r="C24" s="4"/>
      <c r="D24" s="4"/>
      <c r="E24" s="4"/>
      <c r="F24" s="4"/>
      <c r="G24" s="4"/>
      <c r="H24" s="4"/>
      <c r="I24" s="4"/>
      <c r="J24" s="4"/>
      <c r="K24" s="4"/>
      <c r="L24" s="4"/>
      <c r="M24" s="4"/>
      <c r="N24" s="29"/>
      <c r="O24" s="4"/>
      <c r="P24" s="4"/>
      <c r="Q24" s="4"/>
      <c r="R24" s="4"/>
      <c r="S24" s="4"/>
      <c r="T24" s="4"/>
      <c r="U24" s="4"/>
      <c r="V24" s="4"/>
      <c r="W24" s="4"/>
      <c r="X24" s="4"/>
      <c r="Y24" s="4"/>
      <c r="Z24" s="4"/>
    </row>
    <row r="25">
      <c r="A25" s="2" t="s">
        <v>49</v>
      </c>
      <c r="B25" s="2" t="s">
        <v>30</v>
      </c>
      <c r="C25" s="14" t="str">
        <f t="array" ref="C25:L25">transpose('Time Types'!A2:A11)</f>
        <v>Regular</v>
      </c>
      <c r="D25" s="14" t="s">
        <v>31</v>
      </c>
      <c r="E25" s="14" t="s">
        <v>32</v>
      </c>
      <c r="F25" s="14" t="s">
        <v>12</v>
      </c>
      <c r="G25" s="14" t="s">
        <v>33</v>
      </c>
      <c r="H25" s="14" t="s">
        <v>34</v>
      </c>
      <c r="I25" s="14" t="s">
        <v>14</v>
      </c>
      <c r="J25" s="14" t="s">
        <v>16</v>
      </c>
      <c r="K25" s="14" t="s">
        <v>35</v>
      </c>
      <c r="L25" s="14" t="s">
        <v>36</v>
      </c>
      <c r="M25" s="2" t="s">
        <v>37</v>
      </c>
      <c r="N25" s="26" t="s">
        <v>38</v>
      </c>
      <c r="O25" s="4"/>
      <c r="P25" s="20"/>
      <c r="Q25" s="19"/>
      <c r="R25" s="21"/>
      <c r="S25" s="4"/>
      <c r="T25" s="4"/>
      <c r="U25" s="4"/>
      <c r="V25" s="4"/>
      <c r="W25" s="4"/>
      <c r="X25" s="4"/>
      <c r="Y25" s="4"/>
      <c r="Z25" s="4"/>
    </row>
    <row r="26">
      <c r="A26" s="15">
        <f>A21+1</f>
        <v>46372</v>
      </c>
      <c r="B26" s="16" t="str">
        <f t="shared" ref="B26:B41" si="11">text(A26,"ddd")</f>
        <v>Wed</v>
      </c>
      <c r="C26" s="17">
        <v>8.0</v>
      </c>
      <c r="D26" s="17">
        <v>0.5</v>
      </c>
      <c r="E26" s="18"/>
      <c r="F26" s="18"/>
      <c r="G26" s="18" t="str">
        <f>IF(COUNTIF(Holidays!$A$2:$A$12,$A26)&gt;0, 8,"")</f>
        <v/>
      </c>
      <c r="H26" s="18"/>
      <c r="I26" s="18"/>
      <c r="J26" s="18"/>
      <c r="K26" s="18"/>
      <c r="L26" s="18"/>
      <c r="M26" s="16">
        <f t="shared" ref="M26:M41" si="12">IF(OR(B26="Sat", B26="Sun"), "", sum(C26:J26))</f>
        <v>8.5</v>
      </c>
      <c r="N26" s="27">
        <f t="shared" ref="N26:N41" si="13">IF(OR(B26="Sat", B26="Sun"), "", 8)</f>
        <v>8</v>
      </c>
      <c r="O26" s="4"/>
      <c r="P26" s="19">
        <v>0.3333333333333333</v>
      </c>
      <c r="Q26" s="20">
        <v>0.6666666666666666</v>
      </c>
      <c r="R26" s="21">
        <f t="shared" ref="R26:R28" si="14">(Q26-P26)*24</f>
        <v>8</v>
      </c>
      <c r="S26" s="4"/>
      <c r="T26" s="4"/>
      <c r="U26" s="4"/>
      <c r="V26" s="4"/>
      <c r="W26" s="4"/>
      <c r="X26" s="4"/>
      <c r="Y26" s="4"/>
      <c r="Z26" s="4"/>
    </row>
    <row r="27">
      <c r="A27" s="15">
        <f t="shared" ref="A27:A41" si="15">A26+1</f>
        <v>46373</v>
      </c>
      <c r="B27" s="16" t="str">
        <f t="shared" si="11"/>
        <v>Thu</v>
      </c>
      <c r="C27" s="17">
        <v>8.0</v>
      </c>
      <c r="D27" s="17">
        <v>0.5</v>
      </c>
      <c r="E27" s="18"/>
      <c r="F27" s="18"/>
      <c r="G27" s="18" t="str">
        <f>IF(COUNTIF(Holidays!$A$2:$A$12,$A27)&gt;0, 8,"")</f>
        <v/>
      </c>
      <c r="H27" s="18"/>
      <c r="I27" s="18"/>
      <c r="J27" s="18"/>
      <c r="K27" s="18"/>
      <c r="L27" s="18"/>
      <c r="M27" s="16">
        <f t="shared" si="12"/>
        <v>8.5</v>
      </c>
      <c r="N27" s="27">
        <f t="shared" si="13"/>
        <v>8</v>
      </c>
      <c r="O27" s="4"/>
      <c r="P27" s="19">
        <v>0.3333333333333333</v>
      </c>
      <c r="Q27" s="20">
        <v>0.6666666666666666</v>
      </c>
      <c r="R27" s="21">
        <f t="shared" si="14"/>
        <v>8</v>
      </c>
      <c r="S27" s="4"/>
      <c r="T27" s="4"/>
      <c r="U27" s="4"/>
      <c r="V27" s="4"/>
      <c r="W27" s="4"/>
      <c r="X27" s="4"/>
      <c r="Y27" s="4"/>
      <c r="Z27" s="4"/>
    </row>
    <row r="28">
      <c r="A28" s="15">
        <f t="shared" si="15"/>
        <v>46374</v>
      </c>
      <c r="B28" s="16" t="str">
        <f t="shared" si="11"/>
        <v>Fri</v>
      </c>
      <c r="C28" s="17">
        <v>8.0</v>
      </c>
      <c r="D28" s="17"/>
      <c r="E28" s="18"/>
      <c r="F28" s="18"/>
      <c r="G28" s="18" t="str">
        <f>IF(COUNTIF(Holidays!$A$2:$A$12,$A28)&gt;0, 8,"")</f>
        <v/>
      </c>
      <c r="H28" s="18"/>
      <c r="I28" s="18"/>
      <c r="J28" s="18"/>
      <c r="K28" s="18"/>
      <c r="L28" s="18"/>
      <c r="M28" s="16">
        <f t="shared" si="12"/>
        <v>8</v>
      </c>
      <c r="N28" s="27">
        <f t="shared" si="13"/>
        <v>8</v>
      </c>
      <c r="O28" s="4"/>
      <c r="P28" s="19">
        <v>0.3333333333333333</v>
      </c>
      <c r="Q28" s="20">
        <v>0.6666666666666666</v>
      </c>
      <c r="R28" s="21">
        <f t="shared" si="14"/>
        <v>8</v>
      </c>
      <c r="S28" s="4"/>
      <c r="T28" s="4"/>
      <c r="U28" s="4"/>
      <c r="V28" s="4"/>
      <c r="W28" s="4"/>
      <c r="X28" s="4"/>
      <c r="Y28" s="4"/>
      <c r="Z28" s="4"/>
    </row>
    <row r="29">
      <c r="A29" s="15">
        <f t="shared" si="15"/>
        <v>46375</v>
      </c>
      <c r="B29" s="16" t="str">
        <f t="shared" si="11"/>
        <v>Sat</v>
      </c>
      <c r="C29" s="18"/>
      <c r="D29" s="18"/>
      <c r="E29" s="18"/>
      <c r="F29" s="18"/>
      <c r="G29" s="18" t="str">
        <f>IF(COUNTIF(Holidays!$A$2:$A$12,$A29)&gt;0, 8,"")</f>
        <v/>
      </c>
      <c r="H29" s="18"/>
      <c r="I29" s="18"/>
      <c r="J29" s="18"/>
      <c r="K29" s="18"/>
      <c r="L29" s="18"/>
      <c r="M29" s="16" t="str">
        <f t="shared" si="12"/>
        <v/>
      </c>
      <c r="N29" s="27" t="str">
        <f t="shared" si="13"/>
        <v/>
      </c>
      <c r="O29" s="4"/>
      <c r="P29" s="19"/>
      <c r="Q29" s="20"/>
      <c r="R29" s="21"/>
      <c r="S29" s="4"/>
      <c r="T29" s="4"/>
      <c r="U29" s="4"/>
      <c r="V29" s="4"/>
      <c r="W29" s="4"/>
      <c r="X29" s="4"/>
      <c r="Y29" s="4"/>
      <c r="Z29" s="4"/>
    </row>
    <row r="30">
      <c r="A30" s="15">
        <f t="shared" si="15"/>
        <v>46376</v>
      </c>
      <c r="B30" s="16" t="str">
        <f t="shared" si="11"/>
        <v>Sun</v>
      </c>
      <c r="C30" s="17"/>
      <c r="D30" s="18"/>
      <c r="E30" s="18"/>
      <c r="F30" s="18"/>
      <c r="G30" s="18" t="str">
        <f>IF(COUNTIF(Holidays!$A$2:$A$12,$A30)&gt;0, 8,"")</f>
        <v/>
      </c>
      <c r="H30" s="18"/>
      <c r="I30" s="18"/>
      <c r="J30" s="18"/>
      <c r="K30" s="18"/>
      <c r="L30" s="18"/>
      <c r="M30" s="16" t="str">
        <f t="shared" si="12"/>
        <v/>
      </c>
      <c r="N30" s="27" t="str">
        <f t="shared" si="13"/>
        <v/>
      </c>
      <c r="O30" s="4"/>
      <c r="P30" s="19"/>
      <c r="Q30" s="20"/>
      <c r="R30" s="21"/>
      <c r="S30" s="4"/>
      <c r="T30" s="4"/>
      <c r="U30" s="4"/>
      <c r="V30" s="4"/>
      <c r="W30" s="4"/>
      <c r="X30" s="4"/>
      <c r="Y30" s="4"/>
      <c r="Z30" s="4"/>
    </row>
    <row r="31">
      <c r="A31" s="15">
        <f t="shared" si="15"/>
        <v>46377</v>
      </c>
      <c r="B31" s="16" t="str">
        <f t="shared" si="11"/>
        <v>Mon</v>
      </c>
      <c r="C31" s="17">
        <v>8.0</v>
      </c>
      <c r="D31" s="17">
        <v>1.0</v>
      </c>
      <c r="E31" s="18"/>
      <c r="F31" s="18"/>
      <c r="G31" s="18" t="str">
        <f>IF(COUNTIF(Holidays!$A$2:$A$12,$A31)&gt;0, 8,"")</f>
        <v/>
      </c>
      <c r="H31" s="18"/>
      <c r="I31" s="18"/>
      <c r="J31" s="18"/>
      <c r="K31" s="18"/>
      <c r="L31" s="18"/>
      <c r="M31" s="16">
        <f t="shared" si="12"/>
        <v>9</v>
      </c>
      <c r="N31" s="27">
        <f t="shared" si="13"/>
        <v>8</v>
      </c>
      <c r="O31" s="4"/>
      <c r="P31" s="19">
        <v>0.3333333333333333</v>
      </c>
      <c r="Q31" s="20">
        <v>0.6666666666666666</v>
      </c>
      <c r="R31" s="21">
        <f t="shared" ref="R31:R35" si="16">(Q31-P31)*24</f>
        <v>8</v>
      </c>
      <c r="S31" s="4"/>
      <c r="T31" s="4"/>
      <c r="U31" s="4"/>
      <c r="V31" s="4"/>
      <c r="W31" s="4"/>
      <c r="X31" s="4"/>
      <c r="Y31" s="4"/>
      <c r="Z31" s="4"/>
    </row>
    <row r="32">
      <c r="A32" s="15">
        <f t="shared" si="15"/>
        <v>46378</v>
      </c>
      <c r="B32" s="16" t="str">
        <f t="shared" si="11"/>
        <v>Tue</v>
      </c>
      <c r="C32" s="17">
        <v>8.0</v>
      </c>
      <c r="D32" s="17">
        <v>1.0</v>
      </c>
      <c r="E32" s="18"/>
      <c r="F32" s="18"/>
      <c r="G32" s="18" t="str">
        <f>IF(COUNTIF(Holidays!$A$2:$A$12,$A32)&gt;0, 8,"")</f>
        <v/>
      </c>
      <c r="H32" s="18"/>
      <c r="I32" s="18"/>
      <c r="J32" s="18"/>
      <c r="K32" s="18"/>
      <c r="L32" s="18"/>
      <c r="M32" s="16">
        <f t="shared" si="12"/>
        <v>9</v>
      </c>
      <c r="N32" s="27">
        <f t="shared" si="13"/>
        <v>8</v>
      </c>
      <c r="O32" s="4"/>
      <c r="P32" s="19">
        <v>0.3333333333333333</v>
      </c>
      <c r="Q32" s="20">
        <v>0.6666666666666666</v>
      </c>
      <c r="R32" s="21">
        <f t="shared" si="16"/>
        <v>8</v>
      </c>
      <c r="S32" s="4"/>
      <c r="T32" s="4"/>
      <c r="U32" s="4"/>
      <c r="V32" s="4"/>
      <c r="W32" s="4"/>
      <c r="X32" s="4"/>
      <c r="Y32" s="4"/>
      <c r="Z32" s="4"/>
    </row>
    <row r="33">
      <c r="A33" s="15">
        <f t="shared" si="15"/>
        <v>46379</v>
      </c>
      <c r="B33" s="16" t="str">
        <f t="shared" si="11"/>
        <v>Wed</v>
      </c>
      <c r="C33" s="17">
        <v>8.0</v>
      </c>
      <c r="D33" s="17">
        <v>0.5</v>
      </c>
      <c r="E33" s="18"/>
      <c r="F33" s="18"/>
      <c r="G33" s="18" t="str">
        <f>IF(COUNTIF(Holidays!$A$2:$A$12,$A33)&gt;0, 8,"")</f>
        <v/>
      </c>
      <c r="H33" s="18"/>
      <c r="I33" s="18"/>
      <c r="J33" s="18"/>
      <c r="K33" s="18"/>
      <c r="L33" s="18"/>
      <c r="M33" s="16">
        <f t="shared" si="12"/>
        <v>8.5</v>
      </c>
      <c r="N33" s="27">
        <f t="shared" si="13"/>
        <v>8</v>
      </c>
      <c r="O33" s="4"/>
      <c r="P33" s="19">
        <v>0.3333333333333333</v>
      </c>
      <c r="Q33" s="20">
        <v>0.6666666666666666</v>
      </c>
      <c r="R33" s="21">
        <f t="shared" si="16"/>
        <v>8</v>
      </c>
      <c r="S33" s="4"/>
      <c r="T33" s="4"/>
      <c r="U33" s="4"/>
      <c r="V33" s="4"/>
      <c r="W33" s="4"/>
      <c r="X33" s="4"/>
      <c r="Y33" s="4"/>
      <c r="Z33" s="4"/>
    </row>
    <row r="34">
      <c r="A34" s="15">
        <f t="shared" si="15"/>
        <v>46380</v>
      </c>
      <c r="B34" s="16" t="str">
        <f t="shared" si="11"/>
        <v>Thu</v>
      </c>
      <c r="C34" s="17">
        <v>8.0</v>
      </c>
      <c r="D34" s="17">
        <v>0.5</v>
      </c>
      <c r="E34" s="18"/>
      <c r="F34" s="18"/>
      <c r="G34" s="18" t="str">
        <f>IF(COUNTIF(Holidays!$A$2:$A$12,$A34)&gt;0, 8,"")</f>
        <v/>
      </c>
      <c r="H34" s="18"/>
      <c r="I34" s="18"/>
      <c r="J34" s="18"/>
      <c r="K34" s="18"/>
      <c r="L34" s="18"/>
      <c r="M34" s="16">
        <f t="shared" si="12"/>
        <v>8.5</v>
      </c>
      <c r="N34" s="27">
        <f t="shared" si="13"/>
        <v>8</v>
      </c>
      <c r="O34" s="4"/>
      <c r="P34" s="19">
        <v>0.3333333333333333</v>
      </c>
      <c r="Q34" s="20">
        <v>0.6666666666666666</v>
      </c>
      <c r="R34" s="21">
        <f t="shared" si="16"/>
        <v>8</v>
      </c>
      <c r="S34" s="4"/>
      <c r="T34" s="4"/>
      <c r="U34" s="4"/>
      <c r="V34" s="4"/>
      <c r="W34" s="4"/>
      <c r="X34" s="4"/>
      <c r="Y34" s="4"/>
      <c r="Z34" s="4"/>
    </row>
    <row r="35">
      <c r="A35" s="15">
        <f t="shared" si="15"/>
        <v>46381</v>
      </c>
      <c r="B35" s="16" t="str">
        <f t="shared" si="11"/>
        <v>Fri</v>
      </c>
      <c r="C35" s="18"/>
      <c r="D35" s="18"/>
      <c r="E35" s="18"/>
      <c r="F35" s="18"/>
      <c r="G35" s="18">
        <f>IF(COUNTIF(Holidays!$A$2:$A$12,$A35)&gt;0, 8,"")</f>
        <v>8</v>
      </c>
      <c r="H35" s="18"/>
      <c r="I35" s="18"/>
      <c r="J35" s="18"/>
      <c r="K35" s="18"/>
      <c r="L35" s="18"/>
      <c r="M35" s="16">
        <f t="shared" si="12"/>
        <v>8</v>
      </c>
      <c r="N35" s="27">
        <f t="shared" si="13"/>
        <v>8</v>
      </c>
      <c r="O35" s="4"/>
      <c r="P35" s="19">
        <v>0.3333333333333333</v>
      </c>
      <c r="Q35" s="20">
        <v>0.6666666666666666</v>
      </c>
      <c r="R35" s="21">
        <f t="shared" si="16"/>
        <v>8</v>
      </c>
      <c r="S35" s="4"/>
      <c r="T35" s="4"/>
      <c r="U35" s="4"/>
      <c r="V35" s="4"/>
      <c r="W35" s="4"/>
      <c r="X35" s="4"/>
      <c r="Y35" s="4"/>
      <c r="Z35" s="4"/>
    </row>
    <row r="36">
      <c r="A36" s="15">
        <f t="shared" si="15"/>
        <v>46382</v>
      </c>
      <c r="B36" s="16" t="str">
        <f t="shared" si="11"/>
        <v>Sat</v>
      </c>
      <c r="C36" s="17"/>
      <c r="D36" s="18"/>
      <c r="E36" s="18"/>
      <c r="F36" s="18"/>
      <c r="G36" s="18" t="str">
        <f>IF(COUNTIF(Holidays!$A$2:$A$12,$A36)&gt;0, 8,"")</f>
        <v/>
      </c>
      <c r="H36" s="18"/>
      <c r="I36" s="18"/>
      <c r="J36" s="18"/>
      <c r="K36" s="18"/>
      <c r="L36" s="18"/>
      <c r="M36" s="16" t="str">
        <f t="shared" si="12"/>
        <v/>
      </c>
      <c r="N36" s="27" t="str">
        <f t="shared" si="13"/>
        <v/>
      </c>
      <c r="O36" s="4"/>
      <c r="P36" s="19"/>
      <c r="Q36" s="20"/>
      <c r="R36" s="21"/>
      <c r="S36" s="4"/>
      <c r="T36" s="4"/>
      <c r="U36" s="4"/>
      <c r="V36" s="4"/>
      <c r="W36" s="4"/>
      <c r="X36" s="4"/>
      <c r="Y36" s="4"/>
      <c r="Z36" s="4"/>
    </row>
    <row r="37">
      <c r="A37" s="15">
        <f t="shared" si="15"/>
        <v>46383</v>
      </c>
      <c r="B37" s="16" t="str">
        <f t="shared" si="11"/>
        <v>Sun</v>
      </c>
      <c r="C37" s="17"/>
      <c r="D37" s="18"/>
      <c r="E37" s="18"/>
      <c r="F37" s="18"/>
      <c r="G37" s="18" t="str">
        <f>IF(COUNTIF(Holidays!$A$2:$A$12,$A37)&gt;0, 8,"")</f>
        <v/>
      </c>
      <c r="H37" s="18"/>
      <c r="I37" s="18"/>
      <c r="J37" s="18"/>
      <c r="K37" s="18"/>
      <c r="L37" s="18"/>
      <c r="M37" s="16" t="str">
        <f t="shared" si="12"/>
        <v/>
      </c>
      <c r="N37" s="27" t="str">
        <f t="shared" si="13"/>
        <v/>
      </c>
      <c r="O37" s="4"/>
      <c r="P37" s="19"/>
      <c r="Q37" s="20"/>
      <c r="R37" s="21"/>
      <c r="S37" s="4"/>
      <c r="T37" s="4"/>
      <c r="U37" s="4"/>
      <c r="V37" s="4"/>
      <c r="W37" s="4"/>
      <c r="X37" s="4"/>
      <c r="Y37" s="4"/>
      <c r="Z37" s="4"/>
    </row>
    <row r="38">
      <c r="A38" s="15">
        <f t="shared" si="15"/>
        <v>46384</v>
      </c>
      <c r="B38" s="16" t="str">
        <f t="shared" si="11"/>
        <v>Mon</v>
      </c>
      <c r="C38" s="17">
        <v>8.0</v>
      </c>
      <c r="D38" s="17">
        <v>1.0</v>
      </c>
      <c r="E38" s="18"/>
      <c r="F38" s="18"/>
      <c r="G38" s="18" t="str">
        <f>IF(COUNTIF(Holidays!$A$2:$A$12,$A38)&gt;0, 8,"")</f>
        <v/>
      </c>
      <c r="H38" s="18"/>
      <c r="I38" s="18"/>
      <c r="J38" s="18"/>
      <c r="K38" s="18"/>
      <c r="L38" s="18"/>
      <c r="M38" s="16">
        <f t="shared" si="12"/>
        <v>9</v>
      </c>
      <c r="N38" s="27">
        <f t="shared" si="13"/>
        <v>8</v>
      </c>
      <c r="O38" s="4"/>
      <c r="P38" s="19">
        <v>0.3333333333333333</v>
      </c>
      <c r="Q38" s="20">
        <v>0.6666666666666666</v>
      </c>
      <c r="R38" s="21">
        <f t="shared" ref="R38:R41" si="17">(Q38-P38)*24</f>
        <v>8</v>
      </c>
      <c r="S38" s="4"/>
      <c r="T38" s="4"/>
      <c r="U38" s="4"/>
      <c r="V38" s="4"/>
      <c r="W38" s="4"/>
      <c r="X38" s="4"/>
      <c r="Y38" s="4"/>
      <c r="Z38" s="4"/>
    </row>
    <row r="39">
      <c r="A39" s="15">
        <f t="shared" si="15"/>
        <v>46385</v>
      </c>
      <c r="B39" s="16" t="str">
        <f t="shared" si="11"/>
        <v>Tue</v>
      </c>
      <c r="C39" s="17">
        <v>8.0</v>
      </c>
      <c r="D39" s="17">
        <v>1.0</v>
      </c>
      <c r="E39" s="18"/>
      <c r="F39" s="18"/>
      <c r="G39" s="18" t="str">
        <f>IF(COUNTIF(Holidays!$A$2:$A$12,$A39)&gt;0, 8,"")</f>
        <v/>
      </c>
      <c r="H39" s="18"/>
      <c r="I39" s="18"/>
      <c r="J39" s="18"/>
      <c r="K39" s="18"/>
      <c r="L39" s="18"/>
      <c r="M39" s="16">
        <f t="shared" si="12"/>
        <v>9</v>
      </c>
      <c r="N39" s="27">
        <f t="shared" si="13"/>
        <v>8</v>
      </c>
      <c r="O39" s="4"/>
      <c r="P39" s="19">
        <v>0.3333333333333333</v>
      </c>
      <c r="Q39" s="20">
        <v>0.6666666666666666</v>
      </c>
      <c r="R39" s="21">
        <f t="shared" si="17"/>
        <v>8</v>
      </c>
      <c r="S39" s="4"/>
      <c r="T39" s="4"/>
      <c r="U39" s="4"/>
      <c r="V39" s="4"/>
      <c r="W39" s="4"/>
      <c r="X39" s="4"/>
      <c r="Y39" s="4"/>
      <c r="Z39" s="4"/>
    </row>
    <row r="40">
      <c r="A40" s="15">
        <f t="shared" si="15"/>
        <v>46386</v>
      </c>
      <c r="B40" s="16" t="str">
        <f t="shared" si="11"/>
        <v>Wed</v>
      </c>
      <c r="C40" s="17">
        <v>8.0</v>
      </c>
      <c r="D40" s="17">
        <v>0.5</v>
      </c>
      <c r="E40" s="18"/>
      <c r="F40" s="18"/>
      <c r="G40" s="18" t="str">
        <f>IF(COUNTIF(Holidays!$A$2:$A$12,$A40)&gt;0, 8,"")</f>
        <v/>
      </c>
      <c r="H40" s="18"/>
      <c r="I40" s="18"/>
      <c r="J40" s="18"/>
      <c r="K40" s="18"/>
      <c r="L40" s="18"/>
      <c r="M40" s="16">
        <f t="shared" si="12"/>
        <v>8.5</v>
      </c>
      <c r="N40" s="27">
        <f t="shared" si="13"/>
        <v>8</v>
      </c>
      <c r="O40" s="4"/>
      <c r="P40" s="19">
        <v>0.3333333333333333</v>
      </c>
      <c r="Q40" s="20">
        <v>0.6666666666666666</v>
      </c>
      <c r="R40" s="21">
        <f t="shared" si="17"/>
        <v>8</v>
      </c>
      <c r="S40" s="4"/>
      <c r="T40" s="4"/>
      <c r="U40" s="4"/>
      <c r="V40" s="4"/>
      <c r="W40" s="4"/>
      <c r="X40" s="4"/>
      <c r="Y40" s="4"/>
      <c r="Z40" s="4"/>
    </row>
    <row r="41">
      <c r="A41" s="15">
        <f t="shared" si="15"/>
        <v>46387</v>
      </c>
      <c r="B41" s="16" t="str">
        <f t="shared" si="11"/>
        <v>Thu</v>
      </c>
      <c r="C41" s="17"/>
      <c r="D41" s="17"/>
      <c r="E41" s="18"/>
      <c r="F41" s="17">
        <v>8.0</v>
      </c>
      <c r="G41" s="18" t="str">
        <f>IF(COUNTIF(Holidays!$A$2:$A$12,$A41)&gt;0, 8,"")</f>
        <v/>
      </c>
      <c r="H41" s="18"/>
      <c r="I41" s="18"/>
      <c r="J41" s="18"/>
      <c r="K41" s="18"/>
      <c r="L41" s="18"/>
      <c r="M41" s="16">
        <f t="shared" si="12"/>
        <v>8</v>
      </c>
      <c r="N41" s="27">
        <f t="shared" si="13"/>
        <v>8</v>
      </c>
      <c r="O41" s="4"/>
      <c r="P41" s="19">
        <v>0.3333333333333333</v>
      </c>
      <c r="Q41" s="20">
        <v>0.6666666666666666</v>
      </c>
      <c r="R41" s="21">
        <f t="shared" si="17"/>
        <v>8</v>
      </c>
      <c r="S41" s="4"/>
      <c r="T41" s="4"/>
      <c r="U41" s="4"/>
      <c r="V41" s="4"/>
      <c r="W41" s="4"/>
      <c r="X41" s="4"/>
      <c r="Y41" s="4"/>
      <c r="Z41" s="4"/>
    </row>
    <row r="42">
      <c r="A42" s="2" t="s">
        <v>47</v>
      </c>
      <c r="C42" s="14">
        <f t="shared" ref="C42:N42" si="18">sum(C26:C41)</f>
        <v>80</v>
      </c>
      <c r="D42" s="14">
        <f t="shared" si="18"/>
        <v>6.5</v>
      </c>
      <c r="E42" s="14">
        <f t="shared" si="18"/>
        <v>0</v>
      </c>
      <c r="F42" s="14">
        <f t="shared" si="18"/>
        <v>8</v>
      </c>
      <c r="G42" s="14">
        <f t="shared" si="18"/>
        <v>8</v>
      </c>
      <c r="H42" s="14">
        <f t="shared" si="18"/>
        <v>0</v>
      </c>
      <c r="I42" s="14">
        <f t="shared" si="18"/>
        <v>0</v>
      </c>
      <c r="J42" s="14">
        <f t="shared" si="18"/>
        <v>0</v>
      </c>
      <c r="K42" s="14">
        <f t="shared" si="18"/>
        <v>0</v>
      </c>
      <c r="L42" s="14">
        <f t="shared" si="18"/>
        <v>0</v>
      </c>
      <c r="M42" s="14">
        <f t="shared" si="18"/>
        <v>102.5</v>
      </c>
      <c r="N42" s="26">
        <f t="shared" si="18"/>
        <v>96</v>
      </c>
      <c r="O42" s="4"/>
      <c r="P42" s="4"/>
      <c r="Q42" s="4"/>
      <c r="R42" s="24">
        <f>sum(R25:R41)</f>
        <v>96</v>
      </c>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4">
    <mergeCell ref="M2:N2"/>
    <mergeCell ref="P2:Q2"/>
    <mergeCell ref="A22:B22"/>
    <mergeCell ref="A42:B42"/>
  </mergeCells>
  <conditionalFormatting sqref="C7:L21 C26:L41">
    <cfRule type="expression" dxfId="0" priority="1">
      <formula>OR($B7="Sat", $B7="Sun")</formula>
    </cfRule>
  </conditionalFormatting>
  <conditionalFormatting sqref="C7:L21 C26:L41">
    <cfRule type="notContainsBlanks" dxfId="1" priority="2">
      <formula>LEN(TRIM(C7))&gt;0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15" max="15" width="6.13"/>
    <col customWidth="1" min="16" max="21" width="8.5"/>
  </cols>
  <sheetData>
    <row r="1">
      <c r="A1" s="2" t="s">
        <v>67</v>
      </c>
      <c r="B1" s="2" t="s">
        <v>4</v>
      </c>
      <c r="C1" s="2" t="s">
        <v>6</v>
      </c>
      <c r="D1" s="2" t="s">
        <v>7</v>
      </c>
      <c r="E1" s="2" t="s">
        <v>9</v>
      </c>
      <c r="F1" s="4"/>
      <c r="I1" s="4"/>
      <c r="J1" s="4"/>
      <c r="K1" s="4"/>
      <c r="L1" s="4"/>
      <c r="M1" s="4"/>
      <c r="N1" s="4"/>
      <c r="O1" s="4"/>
      <c r="P1" s="4"/>
      <c r="Q1" s="4"/>
      <c r="R1" s="4"/>
      <c r="S1" s="4"/>
      <c r="T1" s="4"/>
      <c r="U1" s="4"/>
      <c r="V1" s="4"/>
      <c r="W1" s="4"/>
      <c r="X1" s="4"/>
      <c r="Y1" s="4"/>
      <c r="Z1" s="4"/>
    </row>
    <row r="2">
      <c r="A2" s="8" t="s">
        <v>13</v>
      </c>
      <c r="B2" s="12">
        <f t="array" ref="B2">INDIRECT(TEXT(EDATE(DATE(2026, MATCH($A$1, {"January","February","March","April","May","June","July","August","September","October","November","December"}, 0), 1), -1), "mmm") &amp; " 26!B4")</f>
        <v>82.5</v>
      </c>
      <c r="C2" s="12">
        <f t="array" ref="C2">INDIRECT(TEXT(EDATE(DATE(2026, MATCH($A$1, {"January","February","March","April","May","June","July","August","September","October","November","December"}, 0), 1), -1), "mmm") &amp; " 26!C4")</f>
        <v>9.5</v>
      </c>
      <c r="D2" s="12">
        <f t="array" ref="D2">INDIRECT(TEXT(EDATE(DATE(2026, MATCH($A$1, {"January","February","March","April","May","June","July","August","September","October","November","December"}, 0), 1), -1), "mmm") &amp; " 26!D4")</f>
        <v>8</v>
      </c>
      <c r="E2" s="12">
        <f t="array" ref="E2">INDIRECT(TEXT(EDATE(DATE(2026, MATCH($A$1, {"January","February","March","April","May","June","July","August","September","October","November","December"}, 0), 1), -1), "mmm") &amp; " 26!E4")</f>
        <v>40</v>
      </c>
      <c r="F2" s="4"/>
      <c r="G2" s="2" t="s">
        <v>8</v>
      </c>
      <c r="H2" s="12">
        <f>'START HERE'!B6</f>
        <v>5</v>
      </c>
      <c r="I2" s="4"/>
      <c r="J2" s="4"/>
      <c r="K2" s="4"/>
      <c r="L2" s="4"/>
      <c r="M2" s="13"/>
      <c r="O2" s="4"/>
      <c r="P2" s="13"/>
      <c r="R2" s="4"/>
      <c r="S2" s="4"/>
      <c r="T2" s="4"/>
      <c r="U2" s="4"/>
      <c r="V2" s="4"/>
      <c r="W2" s="4"/>
      <c r="X2" s="4"/>
      <c r="Y2" s="4"/>
      <c r="Z2" s="4"/>
    </row>
    <row r="3">
      <c r="A3" s="8" t="s">
        <v>23</v>
      </c>
      <c r="B3" s="12">
        <f>B2+H2-F22</f>
        <v>87.5</v>
      </c>
      <c r="C3" s="12">
        <f>C2+D22-E22</f>
        <v>14</v>
      </c>
      <c r="D3" s="12">
        <f t="shared" ref="D3:E3" si="1">D2-I22</f>
        <v>8</v>
      </c>
      <c r="E3" s="12">
        <f t="shared" si="1"/>
        <v>40</v>
      </c>
      <c r="F3" s="4"/>
      <c r="G3" s="4"/>
      <c r="H3" s="4"/>
      <c r="I3" s="4"/>
      <c r="J3" s="4"/>
      <c r="K3" s="4"/>
      <c r="L3" s="4"/>
      <c r="M3" s="4"/>
      <c r="N3" s="4"/>
      <c r="O3" s="4"/>
      <c r="P3" s="4"/>
      <c r="Q3" s="4"/>
      <c r="R3" s="4"/>
      <c r="S3" s="4"/>
      <c r="T3" s="4"/>
      <c r="U3" s="4"/>
      <c r="V3" s="4"/>
      <c r="W3" s="4"/>
      <c r="X3" s="4"/>
      <c r="Y3" s="4"/>
      <c r="Z3" s="4"/>
    </row>
    <row r="4">
      <c r="A4" s="8" t="s">
        <v>25</v>
      </c>
      <c r="B4" s="12">
        <f>B3+H2-F42</f>
        <v>51.5</v>
      </c>
      <c r="C4" s="12">
        <f>C3+D42-E42</f>
        <v>0</v>
      </c>
      <c r="D4" s="12">
        <f t="shared" ref="D4:E4" si="2">D3-I42</f>
        <v>8</v>
      </c>
      <c r="E4" s="12">
        <f t="shared" si="2"/>
        <v>40</v>
      </c>
      <c r="F4" s="4"/>
      <c r="G4" s="4"/>
      <c r="H4" s="4"/>
      <c r="I4" s="4"/>
      <c r="J4" s="4"/>
      <c r="K4" s="4"/>
      <c r="L4" s="4"/>
      <c r="M4" s="4"/>
      <c r="N4" s="4"/>
      <c r="O4" s="4"/>
      <c r="P4" s="4"/>
      <c r="Q4" s="4"/>
      <c r="R4" s="4"/>
      <c r="S4" s="4"/>
      <c r="T4" s="4"/>
      <c r="U4" s="4"/>
      <c r="V4" s="4"/>
      <c r="W4" s="4"/>
      <c r="X4" s="4"/>
      <c r="Y4" s="4"/>
      <c r="Z4" s="4"/>
    </row>
    <row r="5">
      <c r="A5" s="4"/>
      <c r="B5" s="4"/>
      <c r="C5" s="4"/>
      <c r="D5" s="4"/>
      <c r="E5" s="4"/>
      <c r="F5" s="4"/>
      <c r="G5" s="4"/>
      <c r="H5" s="4"/>
      <c r="I5" s="4"/>
      <c r="J5" s="4"/>
      <c r="K5" s="4"/>
      <c r="L5" s="4"/>
      <c r="M5" s="4"/>
      <c r="N5" s="4"/>
      <c r="O5" s="4"/>
      <c r="P5" s="4"/>
      <c r="Q5" s="4"/>
      <c r="R5" s="4"/>
      <c r="S5" s="4"/>
      <c r="T5" s="4"/>
      <c r="U5" s="4"/>
      <c r="V5" s="4"/>
      <c r="W5" s="4"/>
      <c r="X5" s="4"/>
      <c r="Y5" s="4"/>
      <c r="Z5" s="4"/>
    </row>
    <row r="6">
      <c r="A6" s="2" t="s">
        <v>29</v>
      </c>
      <c r="B6" s="2" t="s">
        <v>30</v>
      </c>
      <c r="C6" s="14" t="str">
        <f t="array" ref="C6:L6">TRANSPOSE('Time Types'!A2:A11)</f>
        <v>Regular</v>
      </c>
      <c r="D6" s="14" t="s">
        <v>31</v>
      </c>
      <c r="E6" s="14" t="s">
        <v>32</v>
      </c>
      <c r="F6" s="14" t="s">
        <v>12</v>
      </c>
      <c r="G6" s="14" t="s">
        <v>33</v>
      </c>
      <c r="H6" s="14" t="s">
        <v>34</v>
      </c>
      <c r="I6" s="14" t="s">
        <v>14</v>
      </c>
      <c r="J6" s="14" t="s">
        <v>16</v>
      </c>
      <c r="K6" s="14" t="s">
        <v>35</v>
      </c>
      <c r="L6" s="14" t="s">
        <v>36</v>
      </c>
      <c r="M6" s="2" t="s">
        <v>37</v>
      </c>
      <c r="N6" s="2" t="s">
        <v>38</v>
      </c>
      <c r="O6" s="4"/>
      <c r="P6" s="13" t="s">
        <v>26</v>
      </c>
      <c r="Q6" s="13" t="s">
        <v>27</v>
      </c>
      <c r="R6" s="13" t="s">
        <v>28</v>
      </c>
      <c r="S6" s="13"/>
      <c r="T6" s="13"/>
      <c r="U6" s="13"/>
      <c r="V6" s="4"/>
      <c r="W6" s="4"/>
      <c r="X6" s="4"/>
      <c r="Y6" s="4"/>
      <c r="Z6" s="4"/>
    </row>
    <row r="7">
      <c r="A7" s="15">
        <f>DATE(2026, MONTH(DATEVALUE($A$1 &amp; " 1")), 1)</f>
        <v>46082</v>
      </c>
      <c r="B7" s="16" t="str">
        <f t="shared" ref="B7:B21" si="3">text(A7,"ddd")</f>
        <v>Sun</v>
      </c>
      <c r="C7" s="18"/>
      <c r="D7" s="18"/>
      <c r="E7" s="18"/>
      <c r="F7" s="18"/>
      <c r="G7" s="18" t="str">
        <f>IF(COUNTIF(Holidays!$A$2:$A$12,$A7)&gt;0, 8,"")</f>
        <v/>
      </c>
      <c r="H7" s="18"/>
      <c r="I7" s="18"/>
      <c r="J7" s="18"/>
      <c r="K7" s="18"/>
      <c r="L7" s="18"/>
      <c r="M7" s="16" t="str">
        <f t="shared" ref="M7:M21" si="4">IF(OR(B7="Sat", B7="Sun"), "", sum(C7:J7))</f>
        <v/>
      </c>
      <c r="N7" s="16" t="str">
        <f t="shared" ref="N7:N21" si="5">IF(OR(B7="Sat", B7="Sun"), "", 8)</f>
        <v/>
      </c>
      <c r="O7" s="4"/>
      <c r="P7" s="4"/>
      <c r="Q7" s="4"/>
      <c r="R7" s="4"/>
      <c r="S7" s="4"/>
      <c r="T7" s="4"/>
      <c r="U7" s="4"/>
      <c r="V7" s="4"/>
      <c r="W7" s="4"/>
      <c r="X7" s="4"/>
      <c r="Y7" s="4"/>
      <c r="Z7" s="4"/>
    </row>
    <row r="8">
      <c r="A8" s="15">
        <f t="shared" ref="A8:A21" si="6">A7+1</f>
        <v>46083</v>
      </c>
      <c r="B8" s="16" t="str">
        <f t="shared" si="3"/>
        <v>Mon</v>
      </c>
      <c r="C8" s="17">
        <v>10.0</v>
      </c>
      <c r="D8" s="17">
        <v>0.25</v>
      </c>
      <c r="E8" s="18"/>
      <c r="F8" s="18"/>
      <c r="G8" s="18" t="str">
        <f>IF(COUNTIF(Holidays!$A$2:$A$12,$A8)&gt;0, 8,"")</f>
        <v/>
      </c>
      <c r="H8" s="18"/>
      <c r="I8" s="18"/>
      <c r="J8" s="18"/>
      <c r="K8" s="18"/>
      <c r="L8" s="18"/>
      <c r="M8" s="16">
        <f t="shared" si="4"/>
        <v>10.25</v>
      </c>
      <c r="N8" s="16">
        <f t="shared" si="5"/>
        <v>8</v>
      </c>
      <c r="O8" s="4"/>
      <c r="P8" s="19">
        <v>0.3125</v>
      </c>
      <c r="Q8" s="20">
        <v>0.7395833333333334</v>
      </c>
      <c r="R8" s="21">
        <f t="shared" ref="R8:R12" si="7">(Q8-P8)*24</f>
        <v>10.25</v>
      </c>
      <c r="S8" s="20"/>
      <c r="T8" s="19"/>
      <c r="U8" s="21"/>
      <c r="V8" s="4"/>
      <c r="W8" s="4"/>
      <c r="X8" s="4"/>
      <c r="Y8" s="4"/>
      <c r="Z8" s="4"/>
    </row>
    <row r="9">
      <c r="A9" s="15">
        <f t="shared" si="6"/>
        <v>46084</v>
      </c>
      <c r="B9" s="16" t="str">
        <f t="shared" si="3"/>
        <v>Tue</v>
      </c>
      <c r="C9" s="17">
        <v>9.0</v>
      </c>
      <c r="D9" s="17"/>
      <c r="E9" s="18"/>
      <c r="F9" s="18"/>
      <c r="G9" s="18" t="str">
        <f>IF(COUNTIF(Holidays!$A$2:$A$12,$A9)&gt;0, 8,"")</f>
        <v/>
      </c>
      <c r="H9" s="18"/>
      <c r="I9" s="18"/>
      <c r="J9" s="18"/>
      <c r="K9" s="18"/>
      <c r="L9" s="18"/>
      <c r="M9" s="16">
        <f t="shared" si="4"/>
        <v>9</v>
      </c>
      <c r="N9" s="16">
        <f t="shared" si="5"/>
        <v>8</v>
      </c>
      <c r="O9" s="4"/>
      <c r="P9" s="20">
        <v>0.34375</v>
      </c>
      <c r="Q9" s="20">
        <v>0.71875</v>
      </c>
      <c r="R9" s="21">
        <f t="shared" si="7"/>
        <v>9</v>
      </c>
      <c r="S9" s="20"/>
      <c r="T9" s="19"/>
      <c r="U9" s="21"/>
      <c r="V9" s="4"/>
      <c r="W9" s="4"/>
      <c r="X9" s="4"/>
      <c r="Y9" s="4"/>
      <c r="Z9" s="4"/>
    </row>
    <row r="10">
      <c r="A10" s="15">
        <f t="shared" si="6"/>
        <v>46085</v>
      </c>
      <c r="B10" s="16" t="str">
        <f t="shared" si="3"/>
        <v>Wed</v>
      </c>
      <c r="C10" s="17">
        <v>8.0</v>
      </c>
      <c r="D10" s="17">
        <v>0.75</v>
      </c>
      <c r="E10" s="18"/>
      <c r="F10" s="18"/>
      <c r="G10" s="18" t="str">
        <f>IF(COUNTIF(Holidays!$A$2:$A$12,$A10)&gt;0, 8,"")</f>
        <v/>
      </c>
      <c r="H10" s="18"/>
      <c r="I10" s="18"/>
      <c r="J10" s="18"/>
      <c r="K10" s="18"/>
      <c r="L10" s="18"/>
      <c r="M10" s="16">
        <f t="shared" si="4"/>
        <v>8.75</v>
      </c>
      <c r="N10" s="16">
        <f t="shared" si="5"/>
        <v>8</v>
      </c>
      <c r="O10" s="4"/>
      <c r="P10" s="20">
        <v>0.3229166666666667</v>
      </c>
      <c r="Q10" s="19">
        <v>0.6875</v>
      </c>
      <c r="R10" s="21">
        <f t="shared" si="7"/>
        <v>8.75</v>
      </c>
      <c r="S10" s="20"/>
      <c r="T10" s="19"/>
      <c r="U10" s="21"/>
      <c r="V10" s="4"/>
      <c r="W10" s="4"/>
      <c r="X10" s="4"/>
      <c r="Y10" s="4"/>
      <c r="Z10" s="4"/>
    </row>
    <row r="11">
      <c r="A11" s="15">
        <f t="shared" si="6"/>
        <v>46086</v>
      </c>
      <c r="B11" s="16" t="str">
        <f t="shared" si="3"/>
        <v>Thu</v>
      </c>
      <c r="C11" s="17">
        <v>8.5</v>
      </c>
      <c r="D11" s="17">
        <v>1.0</v>
      </c>
      <c r="E11" s="18"/>
      <c r="F11" s="18"/>
      <c r="G11" s="18" t="str">
        <f>IF(COUNTIF(Holidays!$A$2:$A$12,$A11)&gt;0, 8,"")</f>
        <v/>
      </c>
      <c r="H11" s="18"/>
      <c r="I11" s="18"/>
      <c r="J11" s="18"/>
      <c r="K11" s="18"/>
      <c r="L11" s="18"/>
      <c r="M11" s="16">
        <f t="shared" si="4"/>
        <v>9.5</v>
      </c>
      <c r="N11" s="16">
        <f t="shared" si="5"/>
        <v>8</v>
      </c>
      <c r="O11" s="4"/>
      <c r="P11" s="20">
        <v>0.3229166666666667</v>
      </c>
      <c r="Q11" s="20">
        <v>0.71875</v>
      </c>
      <c r="R11" s="21">
        <f t="shared" si="7"/>
        <v>9.5</v>
      </c>
      <c r="S11" s="20"/>
      <c r="T11" s="19"/>
      <c r="U11" s="21"/>
      <c r="V11" s="4"/>
      <c r="W11" s="4"/>
      <c r="X11" s="4"/>
      <c r="Y11" s="4"/>
      <c r="Z11" s="4"/>
    </row>
    <row r="12">
      <c r="A12" s="15">
        <f t="shared" si="6"/>
        <v>46087</v>
      </c>
      <c r="B12" s="16" t="str">
        <f t="shared" si="3"/>
        <v>Fri</v>
      </c>
      <c r="C12" s="17">
        <v>8.0</v>
      </c>
      <c r="D12" s="17">
        <v>1.0</v>
      </c>
      <c r="E12" s="18"/>
      <c r="F12" s="18"/>
      <c r="G12" s="18" t="str">
        <f>IF(COUNTIF(Holidays!$A$2:$A$12,$A12)&gt;0, 8,"")</f>
        <v/>
      </c>
      <c r="H12" s="18"/>
      <c r="I12" s="18"/>
      <c r="J12" s="18"/>
      <c r="K12" s="18"/>
      <c r="L12" s="18"/>
      <c r="M12" s="16">
        <f t="shared" si="4"/>
        <v>9</v>
      </c>
      <c r="N12" s="16">
        <f t="shared" si="5"/>
        <v>8</v>
      </c>
      <c r="O12" s="4"/>
      <c r="P12" s="20">
        <v>0.34375</v>
      </c>
      <c r="Q12" s="19">
        <v>0.71875</v>
      </c>
      <c r="R12" s="21">
        <f t="shared" si="7"/>
        <v>9</v>
      </c>
      <c r="S12" s="20"/>
      <c r="T12" s="19"/>
      <c r="U12" s="21"/>
      <c r="V12" s="4"/>
      <c r="W12" s="4"/>
      <c r="X12" s="4"/>
      <c r="Y12" s="4"/>
      <c r="Z12" s="4"/>
    </row>
    <row r="13">
      <c r="A13" s="15">
        <f t="shared" si="6"/>
        <v>46088</v>
      </c>
      <c r="B13" s="16" t="str">
        <f t="shared" si="3"/>
        <v>Sat</v>
      </c>
      <c r="C13" s="17"/>
      <c r="D13" s="18"/>
      <c r="E13" s="18"/>
      <c r="F13" s="18"/>
      <c r="G13" s="18" t="str">
        <f>IF(COUNTIF(Holidays!$A$2:$A$12,$A13)&gt;0, 8,"")</f>
        <v/>
      </c>
      <c r="H13" s="18"/>
      <c r="I13" s="18"/>
      <c r="J13" s="18"/>
      <c r="K13" s="18"/>
      <c r="L13" s="18"/>
      <c r="M13" s="16" t="str">
        <f t="shared" si="4"/>
        <v/>
      </c>
      <c r="N13" s="16" t="str">
        <f t="shared" si="5"/>
        <v/>
      </c>
      <c r="O13" s="4"/>
      <c r="P13" s="19"/>
      <c r="Q13" s="19"/>
      <c r="R13" s="24">
        <f>sum(R8:R12)</f>
        <v>46.5</v>
      </c>
      <c r="S13" s="25"/>
      <c r="T13" s="25"/>
      <c r="U13" s="25"/>
      <c r="V13" s="4"/>
      <c r="W13" s="4"/>
      <c r="X13" s="4"/>
      <c r="Y13" s="4"/>
      <c r="Z13" s="4"/>
    </row>
    <row r="14">
      <c r="A14" s="15">
        <f t="shared" si="6"/>
        <v>46089</v>
      </c>
      <c r="B14" s="16" t="str">
        <f t="shared" si="3"/>
        <v>Sun</v>
      </c>
      <c r="C14" s="17"/>
      <c r="D14" s="18"/>
      <c r="E14" s="18"/>
      <c r="F14" s="18"/>
      <c r="G14" s="18" t="str">
        <f>IF(COUNTIF(Holidays!$A$2:$A$12,$A14)&gt;0, 8,"")</f>
        <v/>
      </c>
      <c r="H14" s="18"/>
      <c r="I14" s="18"/>
      <c r="J14" s="18"/>
      <c r="K14" s="18"/>
      <c r="L14" s="18"/>
      <c r="M14" s="16" t="str">
        <f t="shared" si="4"/>
        <v/>
      </c>
      <c r="N14" s="16" t="str">
        <f t="shared" si="5"/>
        <v/>
      </c>
      <c r="O14" s="4"/>
      <c r="P14" s="19"/>
      <c r="Q14" s="19"/>
      <c r="R14" s="21"/>
      <c r="S14" s="4"/>
      <c r="T14" s="4"/>
      <c r="U14" s="4"/>
      <c r="V14" s="4"/>
      <c r="W14" s="4"/>
      <c r="X14" s="4"/>
      <c r="Y14" s="4"/>
      <c r="Z14" s="4"/>
    </row>
    <row r="15">
      <c r="A15" s="15">
        <f t="shared" si="6"/>
        <v>46090</v>
      </c>
      <c r="B15" s="16" t="str">
        <f t="shared" si="3"/>
        <v>Mon</v>
      </c>
      <c r="C15" s="17">
        <v>4.5</v>
      </c>
      <c r="D15" s="17"/>
      <c r="E15" s="18"/>
      <c r="F15" s="18"/>
      <c r="G15" s="18" t="str">
        <f>IF(COUNTIF(Holidays!$A$2:$A$12,$A15)&gt;0, 8,"")</f>
        <v/>
      </c>
      <c r="H15" s="18"/>
      <c r="I15" s="18"/>
      <c r="J15" s="18"/>
      <c r="K15" s="18"/>
      <c r="L15" s="18"/>
      <c r="M15" s="16">
        <f t="shared" si="4"/>
        <v>4.5</v>
      </c>
      <c r="N15" s="16">
        <f t="shared" si="5"/>
        <v>8</v>
      </c>
      <c r="O15" s="4"/>
      <c r="P15" s="20">
        <v>0.3020833333333333</v>
      </c>
      <c r="Q15" s="19">
        <v>0.4895833333333333</v>
      </c>
      <c r="R15" s="21">
        <f t="shared" ref="R15:R19" si="8">(Q15-P15)*24</f>
        <v>4.5</v>
      </c>
      <c r="S15" s="20"/>
      <c r="T15" s="19"/>
      <c r="U15" s="21"/>
      <c r="V15" s="4"/>
      <c r="W15" s="4"/>
      <c r="X15" s="4"/>
      <c r="Y15" s="4"/>
      <c r="Z15" s="4"/>
    </row>
    <row r="16">
      <c r="A16" s="15">
        <f t="shared" si="6"/>
        <v>46091</v>
      </c>
      <c r="B16" s="16" t="str">
        <f t="shared" si="3"/>
        <v>Tue</v>
      </c>
      <c r="C16" s="17">
        <v>8.0</v>
      </c>
      <c r="D16" s="17"/>
      <c r="E16" s="18"/>
      <c r="F16" s="18"/>
      <c r="G16" s="18" t="str">
        <f>IF(COUNTIF(Holidays!$A$2:$A$12,$A16)&gt;0, 8,"")</f>
        <v/>
      </c>
      <c r="H16" s="18"/>
      <c r="I16" s="18"/>
      <c r="J16" s="18"/>
      <c r="K16" s="18"/>
      <c r="L16" s="18"/>
      <c r="M16" s="16">
        <f t="shared" si="4"/>
        <v>8</v>
      </c>
      <c r="N16" s="16">
        <f t="shared" si="5"/>
        <v>8</v>
      </c>
      <c r="O16" s="4"/>
      <c r="P16" s="20">
        <v>0.3958333333333333</v>
      </c>
      <c r="Q16" s="19">
        <v>0.7291666666666666</v>
      </c>
      <c r="R16" s="21">
        <f t="shared" si="8"/>
        <v>8</v>
      </c>
      <c r="S16" s="20"/>
      <c r="T16" s="19"/>
      <c r="U16" s="21"/>
      <c r="V16" s="4"/>
      <c r="W16" s="4"/>
      <c r="X16" s="4"/>
      <c r="Y16" s="4"/>
      <c r="Z16" s="4"/>
    </row>
    <row r="17">
      <c r="A17" s="15">
        <f t="shared" si="6"/>
        <v>46092</v>
      </c>
      <c r="B17" s="16" t="str">
        <f t="shared" si="3"/>
        <v>Wed</v>
      </c>
      <c r="C17" s="17">
        <v>8.0</v>
      </c>
      <c r="D17" s="17">
        <v>1.5</v>
      </c>
      <c r="E17" s="18"/>
      <c r="F17" s="18"/>
      <c r="G17" s="18" t="str">
        <f>IF(COUNTIF(Holidays!$A$2:$A$12,$A17)&gt;0, 8,"")</f>
        <v/>
      </c>
      <c r="H17" s="18"/>
      <c r="I17" s="18"/>
      <c r="J17" s="18"/>
      <c r="K17" s="18"/>
      <c r="L17" s="18"/>
      <c r="M17" s="16">
        <f t="shared" si="4"/>
        <v>9.5</v>
      </c>
      <c r="N17" s="16">
        <f t="shared" si="5"/>
        <v>8</v>
      </c>
      <c r="O17" s="4"/>
      <c r="P17" s="20">
        <v>0.3229166666666667</v>
      </c>
      <c r="Q17" s="19">
        <v>0.71875</v>
      </c>
      <c r="R17" s="21">
        <f t="shared" si="8"/>
        <v>9.5</v>
      </c>
      <c r="S17" s="20"/>
      <c r="T17" s="19"/>
      <c r="U17" s="21"/>
      <c r="V17" s="4"/>
      <c r="W17" s="4"/>
      <c r="X17" s="4"/>
      <c r="Y17" s="4"/>
      <c r="Z17" s="4"/>
    </row>
    <row r="18">
      <c r="A18" s="15">
        <f t="shared" si="6"/>
        <v>46093</v>
      </c>
      <c r="B18" s="16" t="str">
        <f t="shared" si="3"/>
        <v>Thu</v>
      </c>
      <c r="C18" s="17">
        <v>7.5</v>
      </c>
      <c r="D18" s="17"/>
      <c r="E18" s="18"/>
      <c r="F18" s="18"/>
      <c r="G18" s="18" t="str">
        <f>IF(COUNTIF(Holidays!$A$2:$A$12,$A18)&gt;0, 8,"")</f>
        <v/>
      </c>
      <c r="H18" s="18"/>
      <c r="I18" s="18"/>
      <c r="J18" s="18"/>
      <c r="K18" s="18"/>
      <c r="L18" s="18"/>
      <c r="M18" s="16">
        <f t="shared" si="4"/>
        <v>7.5</v>
      </c>
      <c r="N18" s="16">
        <f t="shared" si="5"/>
        <v>8</v>
      </c>
      <c r="O18" s="4"/>
      <c r="P18" s="20">
        <v>0.2916666666666667</v>
      </c>
      <c r="Q18" s="20">
        <v>0.6041666666666666</v>
      </c>
      <c r="R18" s="21">
        <f t="shared" si="8"/>
        <v>7.5</v>
      </c>
      <c r="S18" s="20"/>
      <c r="T18" s="19"/>
      <c r="U18" s="21"/>
      <c r="V18" s="4"/>
      <c r="W18" s="4"/>
      <c r="X18" s="4"/>
      <c r="Y18" s="4"/>
      <c r="Z18" s="4"/>
    </row>
    <row r="19">
      <c r="A19" s="15">
        <f t="shared" si="6"/>
        <v>46094</v>
      </c>
      <c r="B19" s="16" t="str">
        <f t="shared" si="3"/>
        <v>Fri</v>
      </c>
      <c r="C19" s="17">
        <v>8.5</v>
      </c>
      <c r="D19" s="17"/>
      <c r="E19" s="18"/>
      <c r="F19" s="18"/>
      <c r="G19" s="18" t="str">
        <f>IF(COUNTIF(Holidays!$A$2:$A$12,$A19)&gt;0, 8,"")</f>
        <v/>
      </c>
      <c r="H19" s="18"/>
      <c r="I19" s="18"/>
      <c r="J19" s="18"/>
      <c r="K19" s="18"/>
      <c r="L19" s="18"/>
      <c r="M19" s="16">
        <f t="shared" si="4"/>
        <v>8.5</v>
      </c>
      <c r="N19" s="16">
        <f t="shared" si="5"/>
        <v>8</v>
      </c>
      <c r="O19" s="4"/>
      <c r="P19" s="20">
        <v>0.34375</v>
      </c>
      <c r="Q19" s="20">
        <v>0.6979166666666666</v>
      </c>
      <c r="R19" s="21">
        <f t="shared" si="8"/>
        <v>8.5</v>
      </c>
      <c r="S19" s="20"/>
      <c r="T19" s="19"/>
      <c r="U19" s="21"/>
      <c r="V19" s="4"/>
      <c r="W19" s="4"/>
      <c r="X19" s="4"/>
      <c r="Y19" s="4"/>
      <c r="Z19" s="4"/>
    </row>
    <row r="20">
      <c r="A20" s="15">
        <f t="shared" si="6"/>
        <v>46095</v>
      </c>
      <c r="B20" s="16" t="str">
        <f t="shared" si="3"/>
        <v>Sat</v>
      </c>
      <c r="C20" s="17"/>
      <c r="D20" s="18"/>
      <c r="E20" s="18"/>
      <c r="F20" s="18"/>
      <c r="G20" s="18" t="str">
        <f>IF(COUNTIF(Holidays!$A$2:$A$12,$A20)&gt;0, 8,"")</f>
        <v/>
      </c>
      <c r="H20" s="18"/>
      <c r="I20" s="18"/>
      <c r="J20" s="18"/>
      <c r="K20" s="18"/>
      <c r="L20" s="18"/>
      <c r="M20" s="16" t="str">
        <f t="shared" si="4"/>
        <v/>
      </c>
      <c r="N20" s="16" t="str">
        <f t="shared" si="5"/>
        <v/>
      </c>
      <c r="O20" s="4"/>
      <c r="P20" s="4"/>
      <c r="Q20" s="4"/>
      <c r="R20" s="24">
        <f>sum(R15:R19)</f>
        <v>38</v>
      </c>
      <c r="S20" s="25"/>
      <c r="T20" s="25"/>
      <c r="U20" s="25"/>
      <c r="V20" s="4"/>
      <c r="W20" s="4"/>
      <c r="X20" s="4"/>
      <c r="Y20" s="4"/>
      <c r="Z20" s="4"/>
    </row>
    <row r="21">
      <c r="A21" s="15">
        <f t="shared" si="6"/>
        <v>46096</v>
      </c>
      <c r="B21" s="16" t="str">
        <f t="shared" si="3"/>
        <v>Sun</v>
      </c>
      <c r="C21" s="17"/>
      <c r="D21" s="18"/>
      <c r="E21" s="18"/>
      <c r="F21" s="18"/>
      <c r="G21" s="18" t="str">
        <f>IF(COUNTIF(Holidays!$A$2:$A$12,$A21)&gt;0, 8,"")</f>
        <v/>
      </c>
      <c r="H21" s="18"/>
      <c r="I21" s="18"/>
      <c r="J21" s="18"/>
      <c r="K21" s="18"/>
      <c r="L21" s="18"/>
      <c r="M21" s="16" t="str">
        <f t="shared" si="4"/>
        <v/>
      </c>
      <c r="N21" s="16" t="str">
        <f t="shared" si="5"/>
        <v/>
      </c>
      <c r="O21" s="4"/>
      <c r="P21" s="4"/>
      <c r="Q21" s="4"/>
      <c r="R21" s="4"/>
      <c r="S21" s="4"/>
      <c r="T21" s="4"/>
      <c r="U21" s="4"/>
      <c r="V21" s="4"/>
      <c r="W21" s="4"/>
      <c r="X21" s="4"/>
      <c r="Y21" s="4"/>
      <c r="Z21" s="4"/>
    </row>
    <row r="22">
      <c r="A22" s="2" t="s">
        <v>47</v>
      </c>
      <c r="C22" s="14">
        <f t="shared" ref="C22:N22" si="9">sum(C7:C21)</f>
        <v>80</v>
      </c>
      <c r="D22" s="14">
        <f t="shared" si="9"/>
        <v>4.5</v>
      </c>
      <c r="E22" s="14">
        <f t="shared" si="9"/>
        <v>0</v>
      </c>
      <c r="F22" s="14">
        <f t="shared" si="9"/>
        <v>0</v>
      </c>
      <c r="G22" s="14">
        <f t="shared" si="9"/>
        <v>0</v>
      </c>
      <c r="H22" s="14">
        <f t="shared" si="9"/>
        <v>0</v>
      </c>
      <c r="I22" s="14">
        <f t="shared" si="9"/>
        <v>0</v>
      </c>
      <c r="J22" s="14">
        <f t="shared" si="9"/>
        <v>0</v>
      </c>
      <c r="K22" s="14">
        <f t="shared" si="9"/>
        <v>0</v>
      </c>
      <c r="L22" s="14">
        <f t="shared" si="9"/>
        <v>0</v>
      </c>
      <c r="M22" s="14">
        <f t="shared" si="9"/>
        <v>84.5</v>
      </c>
      <c r="N22" s="14">
        <f t="shared" si="9"/>
        <v>80</v>
      </c>
      <c r="O22" s="4"/>
      <c r="P22" s="4"/>
      <c r="Q22" s="4"/>
      <c r="R22" s="24">
        <f>R13+R20</f>
        <v>84.5</v>
      </c>
      <c r="S22" s="25"/>
      <c r="T22" s="25"/>
      <c r="U22" s="25"/>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2" t="s">
        <v>49</v>
      </c>
      <c r="B25" s="2" t="s">
        <v>30</v>
      </c>
      <c r="C25" s="14" t="str">
        <f t="array" ref="C25:L25">transpose('Time Types'!A2:A11)</f>
        <v>Regular</v>
      </c>
      <c r="D25" s="14" t="s">
        <v>31</v>
      </c>
      <c r="E25" s="14" t="s">
        <v>32</v>
      </c>
      <c r="F25" s="14" t="s">
        <v>12</v>
      </c>
      <c r="G25" s="14" t="s">
        <v>33</v>
      </c>
      <c r="H25" s="14" t="s">
        <v>34</v>
      </c>
      <c r="I25" s="14" t="s">
        <v>14</v>
      </c>
      <c r="J25" s="14" t="s">
        <v>16</v>
      </c>
      <c r="K25" s="14" t="s">
        <v>35</v>
      </c>
      <c r="L25" s="14" t="s">
        <v>36</v>
      </c>
      <c r="M25" s="2" t="s">
        <v>37</v>
      </c>
      <c r="N25" s="2" t="s">
        <v>38</v>
      </c>
      <c r="O25" s="4"/>
      <c r="P25" s="4"/>
      <c r="Q25" s="4"/>
      <c r="R25" s="4"/>
      <c r="S25" s="4"/>
      <c r="T25" s="4"/>
      <c r="U25" s="4"/>
      <c r="V25" s="4"/>
      <c r="W25" s="4"/>
      <c r="X25" s="4"/>
      <c r="Y25" s="4"/>
      <c r="Z25" s="4"/>
    </row>
    <row r="26">
      <c r="A26" s="15">
        <f>A21+1</f>
        <v>46097</v>
      </c>
      <c r="B26" s="16" t="str">
        <f t="shared" ref="B26:B41" si="10">text(A26,"ddd")</f>
        <v>Mon</v>
      </c>
      <c r="C26" s="17"/>
      <c r="D26" s="18"/>
      <c r="E26" s="17"/>
      <c r="F26" s="17">
        <v>8.0</v>
      </c>
      <c r="G26" s="18" t="str">
        <f>IF(COUNTIF(Holidays!$A$2:$A$12,$A26)&gt;0, 8,"")</f>
        <v/>
      </c>
      <c r="H26" s="18"/>
      <c r="I26" s="18"/>
      <c r="J26" s="18"/>
      <c r="K26" s="18"/>
      <c r="L26" s="18"/>
      <c r="M26" s="16">
        <f t="shared" ref="M26:M41" si="11">IF(OR(B26="Sat", B26="Sun"), "", sum(C26:J26))</f>
        <v>8</v>
      </c>
      <c r="N26" s="16">
        <f t="shared" ref="N26:N41" si="12">IF(OR(B26="Sat", B26="Sun"), "", 8)</f>
        <v>8</v>
      </c>
      <c r="O26" s="4"/>
      <c r="P26" s="20">
        <v>0.3333333333333333</v>
      </c>
      <c r="Q26" s="19">
        <v>0.6666666666666666</v>
      </c>
      <c r="R26" s="21">
        <f t="shared" ref="R26:R30" si="13">(Q26-P26)*24</f>
        <v>8</v>
      </c>
      <c r="S26" s="20"/>
      <c r="T26" s="19"/>
      <c r="U26" s="21"/>
      <c r="V26" s="4"/>
      <c r="W26" s="4"/>
      <c r="X26" s="4"/>
      <c r="Y26" s="4"/>
      <c r="Z26" s="4"/>
    </row>
    <row r="27">
      <c r="A27" s="15">
        <f t="shared" ref="A27:A41" si="14">A26+1</f>
        <v>46098</v>
      </c>
      <c r="B27" s="16" t="str">
        <f t="shared" si="10"/>
        <v>Tue</v>
      </c>
      <c r="C27" s="17"/>
      <c r="D27" s="18"/>
      <c r="E27" s="17"/>
      <c r="F27" s="17">
        <v>8.0</v>
      </c>
      <c r="G27" s="18" t="str">
        <f>IF(COUNTIF(Holidays!$A$2:$A$12,$A27)&gt;0, 8,"")</f>
        <v/>
      </c>
      <c r="H27" s="18"/>
      <c r="I27" s="18"/>
      <c r="J27" s="18"/>
      <c r="K27" s="18"/>
      <c r="L27" s="18"/>
      <c r="M27" s="16">
        <f t="shared" si="11"/>
        <v>8</v>
      </c>
      <c r="N27" s="16">
        <f t="shared" si="12"/>
        <v>8</v>
      </c>
      <c r="O27" s="4"/>
      <c r="P27" s="20">
        <v>0.3333333333333333</v>
      </c>
      <c r="Q27" s="19">
        <v>0.6666666666666666</v>
      </c>
      <c r="R27" s="21">
        <f t="shared" si="13"/>
        <v>8</v>
      </c>
      <c r="S27" s="20"/>
      <c r="T27" s="19"/>
      <c r="U27" s="21"/>
      <c r="V27" s="4"/>
      <c r="W27" s="4"/>
      <c r="X27" s="4"/>
      <c r="Y27" s="4"/>
      <c r="Z27" s="4"/>
    </row>
    <row r="28">
      <c r="A28" s="15">
        <f t="shared" si="14"/>
        <v>46099</v>
      </c>
      <c r="B28" s="16" t="str">
        <f t="shared" si="10"/>
        <v>Wed</v>
      </c>
      <c r="C28" s="17"/>
      <c r="D28" s="18"/>
      <c r="E28" s="17"/>
      <c r="F28" s="17">
        <v>8.0</v>
      </c>
      <c r="G28" s="18" t="str">
        <f>IF(COUNTIF(Holidays!$A$2:$A$12,$A28)&gt;0, 8,"")</f>
        <v/>
      </c>
      <c r="H28" s="18"/>
      <c r="I28" s="18"/>
      <c r="J28" s="18"/>
      <c r="K28" s="18"/>
      <c r="L28" s="18"/>
      <c r="M28" s="16">
        <f t="shared" si="11"/>
        <v>8</v>
      </c>
      <c r="N28" s="16">
        <f t="shared" si="12"/>
        <v>8</v>
      </c>
      <c r="O28" s="4"/>
      <c r="P28" s="20">
        <v>0.3333333333333333</v>
      </c>
      <c r="Q28" s="19">
        <v>0.6666666666666666</v>
      </c>
      <c r="R28" s="21">
        <f t="shared" si="13"/>
        <v>8</v>
      </c>
      <c r="S28" s="20"/>
      <c r="T28" s="19"/>
      <c r="U28" s="21"/>
      <c r="V28" s="4"/>
      <c r="W28" s="4"/>
      <c r="X28" s="4"/>
      <c r="Y28" s="4"/>
      <c r="Z28" s="4"/>
    </row>
    <row r="29">
      <c r="A29" s="15">
        <f t="shared" si="14"/>
        <v>46100</v>
      </c>
      <c r="B29" s="16" t="str">
        <f t="shared" si="10"/>
        <v>Thu</v>
      </c>
      <c r="C29" s="17"/>
      <c r="D29" s="18"/>
      <c r="E29" s="18"/>
      <c r="F29" s="17">
        <v>8.0</v>
      </c>
      <c r="G29" s="18" t="str">
        <f>IF(COUNTIF(Holidays!$A$2:$A$12,$A29)&gt;0, 8,"")</f>
        <v/>
      </c>
      <c r="H29" s="18"/>
      <c r="I29" s="18"/>
      <c r="J29" s="18"/>
      <c r="K29" s="18"/>
      <c r="L29" s="18"/>
      <c r="M29" s="16">
        <f t="shared" si="11"/>
        <v>8</v>
      </c>
      <c r="N29" s="16">
        <f t="shared" si="12"/>
        <v>8</v>
      </c>
      <c r="O29" s="4"/>
      <c r="P29" s="20">
        <v>0.3333333333333333</v>
      </c>
      <c r="Q29" s="19">
        <v>0.6666666666666666</v>
      </c>
      <c r="R29" s="21">
        <f t="shared" si="13"/>
        <v>8</v>
      </c>
      <c r="S29" s="20"/>
      <c r="T29" s="19"/>
      <c r="U29" s="21"/>
      <c r="V29" s="4"/>
      <c r="W29" s="4"/>
      <c r="X29" s="4"/>
      <c r="Y29" s="4"/>
      <c r="Z29" s="4"/>
    </row>
    <row r="30">
      <c r="A30" s="15">
        <f t="shared" si="14"/>
        <v>46101</v>
      </c>
      <c r="B30" s="16" t="str">
        <f t="shared" si="10"/>
        <v>Fri</v>
      </c>
      <c r="C30" s="17"/>
      <c r="D30" s="18"/>
      <c r="E30" s="17"/>
      <c r="F30" s="17">
        <v>8.0</v>
      </c>
      <c r="G30" s="18" t="str">
        <f>IF(COUNTIF(Holidays!$A$2:$A$12,$A30)&gt;0, 8,"")</f>
        <v/>
      </c>
      <c r="H30" s="18"/>
      <c r="I30" s="18"/>
      <c r="J30" s="18"/>
      <c r="K30" s="18"/>
      <c r="L30" s="18"/>
      <c r="M30" s="16">
        <f t="shared" si="11"/>
        <v>8</v>
      </c>
      <c r="N30" s="16">
        <f t="shared" si="12"/>
        <v>8</v>
      </c>
      <c r="O30" s="4"/>
      <c r="P30" s="20">
        <v>0.3333333333333333</v>
      </c>
      <c r="Q30" s="19">
        <v>0.6666666666666666</v>
      </c>
      <c r="R30" s="21">
        <f t="shared" si="13"/>
        <v>8</v>
      </c>
      <c r="S30" s="20"/>
      <c r="T30" s="19"/>
      <c r="U30" s="21"/>
      <c r="V30" s="4"/>
      <c r="W30" s="4"/>
      <c r="X30" s="4"/>
      <c r="Y30" s="4"/>
      <c r="Z30" s="4"/>
    </row>
    <row r="31">
      <c r="A31" s="15">
        <f t="shared" si="14"/>
        <v>46102</v>
      </c>
      <c r="B31" s="16" t="str">
        <f t="shared" si="10"/>
        <v>Sat</v>
      </c>
      <c r="C31" s="17"/>
      <c r="D31" s="18"/>
      <c r="E31" s="18"/>
      <c r="F31" s="18"/>
      <c r="G31" s="18" t="str">
        <f>IF(COUNTIF(Holidays!$A$2:$A$12,$A31)&gt;0, 8,"")</f>
        <v/>
      </c>
      <c r="H31" s="18"/>
      <c r="I31" s="18"/>
      <c r="J31" s="18"/>
      <c r="K31" s="18"/>
      <c r="L31" s="18"/>
      <c r="M31" s="16" t="str">
        <f t="shared" si="11"/>
        <v/>
      </c>
      <c r="N31" s="16" t="str">
        <f t="shared" si="12"/>
        <v/>
      </c>
      <c r="O31" s="4"/>
      <c r="P31" s="19"/>
      <c r="Q31" s="19"/>
      <c r="R31" s="21"/>
      <c r="S31" s="4"/>
      <c r="T31" s="4"/>
      <c r="U31" s="4"/>
      <c r="V31" s="4"/>
      <c r="W31" s="4"/>
      <c r="X31" s="4"/>
      <c r="Y31" s="4"/>
      <c r="Z31" s="4"/>
    </row>
    <row r="32">
      <c r="A32" s="15">
        <f t="shared" si="14"/>
        <v>46103</v>
      </c>
      <c r="B32" s="16" t="str">
        <f t="shared" si="10"/>
        <v>Sun</v>
      </c>
      <c r="C32" s="17"/>
      <c r="D32" s="18"/>
      <c r="E32" s="18"/>
      <c r="F32" s="18"/>
      <c r="G32" s="18" t="str">
        <f>IF(COUNTIF(Holidays!$A$2:$A$12,$A32)&gt;0, 8,"")</f>
        <v/>
      </c>
      <c r="H32" s="18"/>
      <c r="I32" s="18"/>
      <c r="J32" s="18"/>
      <c r="K32" s="18"/>
      <c r="L32" s="18"/>
      <c r="M32" s="16" t="str">
        <f t="shared" si="11"/>
        <v/>
      </c>
      <c r="N32" s="16" t="str">
        <f t="shared" si="12"/>
        <v/>
      </c>
      <c r="O32" s="4"/>
      <c r="P32" s="19"/>
      <c r="Q32" s="19"/>
      <c r="R32" s="21"/>
      <c r="S32" s="4"/>
      <c r="T32" s="4"/>
      <c r="U32" s="4"/>
      <c r="V32" s="4"/>
      <c r="W32" s="4"/>
      <c r="X32" s="4"/>
      <c r="Y32" s="4"/>
      <c r="Z32" s="4"/>
    </row>
    <row r="33">
      <c r="A33" s="15">
        <f t="shared" si="14"/>
        <v>46104</v>
      </c>
      <c r="B33" s="16" t="str">
        <f t="shared" si="10"/>
        <v>Mon</v>
      </c>
      <c r="C33" s="17"/>
      <c r="D33" s="18"/>
      <c r="E33" s="17">
        <v>8.0</v>
      </c>
      <c r="F33" s="17"/>
      <c r="G33" s="18" t="str">
        <f>IF(COUNTIF(Holidays!$A$2:$A$12,$A33)&gt;0, 8,"")</f>
        <v/>
      </c>
      <c r="H33" s="18"/>
      <c r="I33" s="18"/>
      <c r="J33" s="18"/>
      <c r="K33" s="18"/>
      <c r="L33" s="18"/>
      <c r="M33" s="16">
        <f t="shared" si="11"/>
        <v>8</v>
      </c>
      <c r="N33" s="16">
        <f t="shared" si="12"/>
        <v>8</v>
      </c>
      <c r="O33" s="4"/>
      <c r="P33" s="20">
        <v>0.3333333333333333</v>
      </c>
      <c r="Q33" s="19">
        <v>0.6666666666666666</v>
      </c>
      <c r="R33" s="21">
        <f t="shared" ref="R33:R37" si="15">(Q33-P33)*24</f>
        <v>8</v>
      </c>
      <c r="S33" s="20"/>
      <c r="T33" s="19"/>
      <c r="U33" s="21"/>
      <c r="V33" s="4"/>
      <c r="W33" s="4"/>
      <c r="X33" s="4"/>
      <c r="Y33" s="4"/>
      <c r="Z33" s="4"/>
    </row>
    <row r="34">
      <c r="A34" s="15">
        <f t="shared" si="14"/>
        <v>46105</v>
      </c>
      <c r="B34" s="16" t="str">
        <f t="shared" si="10"/>
        <v>Tue</v>
      </c>
      <c r="C34" s="17"/>
      <c r="D34" s="18"/>
      <c r="E34" s="17">
        <v>6.0</v>
      </c>
      <c r="F34" s="17"/>
      <c r="G34" s="18" t="str">
        <f>IF(COUNTIF(Holidays!$A$2:$A$12,$A34)&gt;0, 8,"")</f>
        <v/>
      </c>
      <c r="H34" s="18"/>
      <c r="I34" s="18"/>
      <c r="J34" s="18"/>
      <c r="K34" s="18"/>
      <c r="L34" s="18"/>
      <c r="M34" s="16">
        <f t="shared" si="11"/>
        <v>6</v>
      </c>
      <c r="N34" s="16">
        <f t="shared" si="12"/>
        <v>8</v>
      </c>
      <c r="O34" s="4"/>
      <c r="P34" s="20">
        <v>0.3333333333333333</v>
      </c>
      <c r="Q34" s="19">
        <v>0.5833333333333334</v>
      </c>
      <c r="R34" s="21">
        <f t="shared" si="15"/>
        <v>6</v>
      </c>
      <c r="S34" s="20"/>
      <c r="T34" s="19"/>
      <c r="U34" s="21"/>
      <c r="V34" s="4"/>
      <c r="W34" s="4"/>
      <c r="X34" s="4"/>
      <c r="Y34" s="4"/>
      <c r="Z34" s="4"/>
    </row>
    <row r="35">
      <c r="A35" s="15">
        <f t="shared" si="14"/>
        <v>46106</v>
      </c>
      <c r="B35" s="16" t="str">
        <f t="shared" si="10"/>
        <v>Wed</v>
      </c>
      <c r="C35" s="17">
        <v>8.5</v>
      </c>
      <c r="D35" s="18"/>
      <c r="E35" s="18"/>
      <c r="F35" s="18"/>
      <c r="G35" s="18" t="str">
        <f>IF(COUNTIF(Holidays!$A$2:$A$12,$A35)&gt;0, 8,"")</f>
        <v/>
      </c>
      <c r="H35" s="18"/>
      <c r="I35" s="18"/>
      <c r="J35" s="18"/>
      <c r="K35" s="18"/>
      <c r="L35" s="18"/>
      <c r="M35" s="16">
        <f t="shared" si="11"/>
        <v>8.5</v>
      </c>
      <c r="N35" s="16">
        <f t="shared" si="12"/>
        <v>8</v>
      </c>
      <c r="O35" s="4"/>
      <c r="P35" s="20">
        <v>0.3333333333333333</v>
      </c>
      <c r="Q35" s="19">
        <v>0.6875</v>
      </c>
      <c r="R35" s="21">
        <f t="shared" si="15"/>
        <v>8.5</v>
      </c>
      <c r="S35" s="13"/>
      <c r="T35" s="19"/>
      <c r="U35" s="21"/>
      <c r="V35" s="4"/>
      <c r="W35" s="4"/>
      <c r="X35" s="4"/>
      <c r="Y35" s="4"/>
      <c r="Z35" s="4"/>
    </row>
    <row r="36">
      <c r="A36" s="15">
        <f t="shared" si="14"/>
        <v>46107</v>
      </c>
      <c r="B36" s="16" t="str">
        <f t="shared" si="10"/>
        <v>Thu</v>
      </c>
      <c r="C36" s="17">
        <v>8.75</v>
      </c>
      <c r="D36" s="18"/>
      <c r="E36" s="18"/>
      <c r="F36" s="18"/>
      <c r="G36" s="18" t="str">
        <f>IF(COUNTIF(Holidays!$A$2:$A$12,$A36)&gt;0, 8,"")</f>
        <v/>
      </c>
      <c r="H36" s="18"/>
      <c r="I36" s="18"/>
      <c r="J36" s="18"/>
      <c r="K36" s="18"/>
      <c r="L36" s="18"/>
      <c r="M36" s="16">
        <f t="shared" si="11"/>
        <v>8.75</v>
      </c>
      <c r="N36" s="16">
        <f t="shared" si="12"/>
        <v>8</v>
      </c>
      <c r="O36" s="4"/>
      <c r="P36" s="20">
        <v>0.3333333333333333</v>
      </c>
      <c r="Q36" s="19">
        <v>0.6979166666666666</v>
      </c>
      <c r="R36" s="21">
        <f t="shared" si="15"/>
        <v>8.75</v>
      </c>
      <c r="S36" s="20"/>
      <c r="T36" s="19"/>
      <c r="U36" s="21"/>
      <c r="V36" s="4"/>
      <c r="W36" s="4"/>
      <c r="X36" s="4"/>
      <c r="Y36" s="4"/>
      <c r="Z36" s="4"/>
    </row>
    <row r="37">
      <c r="A37" s="15">
        <f t="shared" si="14"/>
        <v>46108</v>
      </c>
      <c r="B37" s="16" t="str">
        <f t="shared" si="10"/>
        <v>Fri</v>
      </c>
      <c r="C37" s="17">
        <v>8.5</v>
      </c>
      <c r="D37" s="18"/>
      <c r="E37" s="18"/>
      <c r="F37" s="18"/>
      <c r="G37" s="18" t="str">
        <f>IF(COUNTIF(Holidays!$A$2:$A$12,$A37)&gt;0, 8,"")</f>
        <v/>
      </c>
      <c r="H37" s="18"/>
      <c r="I37" s="18"/>
      <c r="J37" s="18"/>
      <c r="K37" s="18"/>
      <c r="L37" s="18"/>
      <c r="M37" s="16">
        <f t="shared" si="11"/>
        <v>8.5</v>
      </c>
      <c r="N37" s="16">
        <f t="shared" si="12"/>
        <v>8</v>
      </c>
      <c r="O37" s="4"/>
      <c r="P37" s="20">
        <v>0.375</v>
      </c>
      <c r="Q37" s="20">
        <v>0.7291666666666666</v>
      </c>
      <c r="R37" s="21">
        <f t="shared" si="15"/>
        <v>8.5</v>
      </c>
      <c r="S37" s="20"/>
      <c r="T37" s="19"/>
      <c r="U37" s="21"/>
      <c r="V37" s="4"/>
      <c r="W37" s="4"/>
      <c r="X37" s="4"/>
      <c r="Y37" s="4"/>
      <c r="Z37" s="4"/>
    </row>
    <row r="38">
      <c r="A38" s="15">
        <f t="shared" si="14"/>
        <v>46109</v>
      </c>
      <c r="B38" s="16" t="str">
        <f t="shared" si="10"/>
        <v>Sat</v>
      </c>
      <c r="C38" s="17"/>
      <c r="D38" s="18"/>
      <c r="E38" s="18"/>
      <c r="F38" s="18"/>
      <c r="G38" s="18" t="str">
        <f>IF(COUNTIF(Holidays!$A$2:$A$12,$A38)&gt;0, 8,"")</f>
        <v/>
      </c>
      <c r="H38" s="18"/>
      <c r="I38" s="18"/>
      <c r="J38" s="18"/>
      <c r="K38" s="18"/>
      <c r="L38" s="18"/>
      <c r="M38" s="16" t="str">
        <f t="shared" si="11"/>
        <v/>
      </c>
      <c r="N38" s="16" t="str">
        <f t="shared" si="12"/>
        <v/>
      </c>
      <c r="O38" s="4"/>
      <c r="P38" s="4"/>
      <c r="Q38" s="4"/>
      <c r="R38" s="21"/>
      <c r="S38" s="21"/>
      <c r="T38" s="21"/>
      <c r="U38" s="21"/>
      <c r="V38" s="4"/>
      <c r="W38" s="4"/>
      <c r="X38" s="4"/>
      <c r="Y38" s="4"/>
      <c r="Z38" s="4"/>
    </row>
    <row r="39">
      <c r="A39" s="15">
        <f t="shared" si="14"/>
        <v>46110</v>
      </c>
      <c r="B39" s="16" t="str">
        <f t="shared" si="10"/>
        <v>Sun</v>
      </c>
      <c r="C39" s="17"/>
      <c r="D39" s="18"/>
      <c r="E39" s="18"/>
      <c r="F39" s="18"/>
      <c r="G39" s="18" t="str">
        <f>IF(COUNTIF(Holidays!$A$2:$A$12,$A39)&gt;0, 8,"")</f>
        <v/>
      </c>
      <c r="H39" s="18"/>
      <c r="I39" s="18"/>
      <c r="J39" s="18"/>
      <c r="K39" s="18"/>
      <c r="L39" s="18"/>
      <c r="M39" s="16" t="str">
        <f t="shared" si="11"/>
        <v/>
      </c>
      <c r="N39" s="16" t="str">
        <f t="shared" si="12"/>
        <v/>
      </c>
      <c r="O39" s="4"/>
      <c r="P39" s="4"/>
      <c r="Q39" s="4"/>
      <c r="R39" s="4"/>
      <c r="S39" s="4"/>
      <c r="T39" s="4"/>
      <c r="U39" s="4"/>
      <c r="V39" s="4"/>
      <c r="W39" s="4"/>
      <c r="X39" s="4"/>
      <c r="Y39" s="4"/>
      <c r="Z39" s="4"/>
    </row>
    <row r="40">
      <c r="A40" s="15">
        <f t="shared" si="14"/>
        <v>46111</v>
      </c>
      <c r="B40" s="16" t="str">
        <f t="shared" si="10"/>
        <v>Mon</v>
      </c>
      <c r="C40" s="17">
        <v>7.0</v>
      </c>
      <c r="D40" s="18"/>
      <c r="E40" s="18"/>
      <c r="F40" s="17">
        <v>1.0</v>
      </c>
      <c r="G40" s="18" t="str">
        <f>IF(COUNTIF(Holidays!$A$2:$A$12,$A40)&gt;0, 8,"")</f>
        <v/>
      </c>
      <c r="H40" s="18"/>
      <c r="I40" s="18"/>
      <c r="J40" s="18"/>
      <c r="K40" s="18"/>
      <c r="L40" s="18"/>
      <c r="M40" s="16">
        <f t="shared" si="11"/>
        <v>8</v>
      </c>
      <c r="N40" s="16">
        <f t="shared" si="12"/>
        <v>8</v>
      </c>
      <c r="O40" s="4"/>
      <c r="P40" s="20">
        <v>0.4375</v>
      </c>
      <c r="Q40" s="19">
        <v>0.7291666666666666</v>
      </c>
      <c r="R40" s="21">
        <f>(Q40-P40)*24+1</f>
        <v>8</v>
      </c>
      <c r="S40" s="20"/>
      <c r="T40" s="19"/>
      <c r="U40" s="21"/>
      <c r="V40" s="4"/>
      <c r="W40" s="4"/>
      <c r="X40" s="4"/>
      <c r="Y40" s="4"/>
      <c r="Z40" s="4"/>
    </row>
    <row r="41">
      <c r="A41" s="15">
        <f t="shared" si="14"/>
        <v>46112</v>
      </c>
      <c r="B41" s="16" t="str">
        <f t="shared" si="10"/>
        <v>Tue</v>
      </c>
      <c r="C41" s="17">
        <v>8.25</v>
      </c>
      <c r="D41" s="18"/>
      <c r="E41" s="18"/>
      <c r="F41" s="18"/>
      <c r="G41" s="18" t="str">
        <f>IF(COUNTIF(Holidays!$A$2:$A$12,$A41)&gt;0, 8,"")</f>
        <v/>
      </c>
      <c r="H41" s="18"/>
      <c r="I41" s="18"/>
      <c r="J41" s="18"/>
      <c r="K41" s="18"/>
      <c r="L41" s="18"/>
      <c r="M41" s="16">
        <f t="shared" si="11"/>
        <v>8.25</v>
      </c>
      <c r="N41" s="16">
        <f t="shared" si="12"/>
        <v>8</v>
      </c>
      <c r="O41" s="4"/>
      <c r="P41" s="20">
        <v>0.34375</v>
      </c>
      <c r="Q41" s="19">
        <v>0.7291666666666666</v>
      </c>
      <c r="R41" s="21">
        <f>(Q41-P41)*24-1</f>
        <v>8.25</v>
      </c>
      <c r="S41" s="20"/>
      <c r="T41" s="19"/>
      <c r="U41" s="21"/>
      <c r="V41" s="4"/>
      <c r="W41" s="4"/>
      <c r="X41" s="4"/>
      <c r="Y41" s="4"/>
      <c r="Z41" s="4"/>
    </row>
    <row r="42">
      <c r="A42" s="2" t="s">
        <v>47</v>
      </c>
      <c r="C42" s="14">
        <f t="shared" ref="C42:N42" si="16">sum(C26:C41)</f>
        <v>41</v>
      </c>
      <c r="D42" s="14">
        <f t="shared" si="16"/>
        <v>0</v>
      </c>
      <c r="E42" s="14">
        <f t="shared" si="16"/>
        <v>14</v>
      </c>
      <c r="F42" s="14">
        <f t="shared" si="16"/>
        <v>41</v>
      </c>
      <c r="G42" s="14">
        <f t="shared" si="16"/>
        <v>0</v>
      </c>
      <c r="H42" s="14">
        <f t="shared" si="16"/>
        <v>0</v>
      </c>
      <c r="I42" s="14">
        <f t="shared" si="16"/>
        <v>0</v>
      </c>
      <c r="J42" s="14">
        <f t="shared" si="16"/>
        <v>0</v>
      </c>
      <c r="K42" s="14">
        <f t="shared" si="16"/>
        <v>0</v>
      </c>
      <c r="L42" s="14">
        <f t="shared" si="16"/>
        <v>0</v>
      </c>
      <c r="M42" s="14">
        <f t="shared" si="16"/>
        <v>96</v>
      </c>
      <c r="N42" s="14">
        <f t="shared" si="16"/>
        <v>96</v>
      </c>
      <c r="O42" s="4"/>
      <c r="P42" s="4"/>
      <c r="Q42" s="4"/>
      <c r="S42" s="4"/>
      <c r="T42" s="4"/>
      <c r="V42" s="4"/>
      <c r="W42" s="4"/>
      <c r="X42" s="4"/>
      <c r="Y42" s="4"/>
      <c r="Z42" s="4"/>
    </row>
    <row r="43">
      <c r="A43" s="4"/>
      <c r="B43" s="4"/>
      <c r="C43" s="4"/>
      <c r="D43" s="4"/>
      <c r="E43" s="4"/>
      <c r="F43" s="4"/>
      <c r="G43" s="4"/>
      <c r="H43" s="4"/>
      <c r="I43" s="4"/>
      <c r="J43" s="4"/>
      <c r="K43" s="4"/>
      <c r="L43" s="4"/>
      <c r="M43" s="4"/>
      <c r="N43" s="4"/>
      <c r="O43" s="4"/>
      <c r="P43" s="4"/>
      <c r="Q43" s="4"/>
      <c r="R43" s="24">
        <f>sum(R26:R41)</f>
        <v>96</v>
      </c>
      <c r="S43" s="4"/>
      <c r="T43" s="4"/>
      <c r="U43" s="25"/>
      <c r="V43" s="4"/>
      <c r="W43" s="4"/>
      <c r="X43" s="4"/>
      <c r="Y43" s="4"/>
      <c r="Z43" s="4"/>
    </row>
    <row r="44">
      <c r="A44" s="4"/>
      <c r="B44" s="4"/>
      <c r="C44" s="4"/>
      <c r="D44" s="4"/>
      <c r="E44" s="4"/>
      <c r="F44" s="4"/>
      <c r="G44" s="4"/>
      <c r="H44" s="4"/>
      <c r="I44" s="4"/>
      <c r="J44" s="4"/>
      <c r="K44" s="4"/>
      <c r="L44" s="4"/>
      <c r="M44" s="4"/>
      <c r="N44" s="4"/>
      <c r="O44" s="4"/>
      <c r="P44" s="4"/>
      <c r="Q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13"/>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4">
    <mergeCell ref="M2:N2"/>
    <mergeCell ref="P2:Q2"/>
    <mergeCell ref="A22:B22"/>
    <mergeCell ref="A42:B42"/>
  </mergeCells>
  <conditionalFormatting sqref="C7:L21 C26:L41">
    <cfRule type="expression" dxfId="0" priority="1">
      <formula>OR($B7="Sat", $B7="Sun")</formula>
    </cfRule>
  </conditionalFormatting>
  <conditionalFormatting sqref="C7:L21 C26:L41">
    <cfRule type="notContainsBlanks" dxfId="1" priority="2">
      <formula>LEN(TRIM(C7))&gt;0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15" max="15" width="5.13"/>
    <col customWidth="1" min="16" max="18" width="7.25"/>
    <col customWidth="1" min="19" max="19" width="8.13"/>
    <col customWidth="1" min="20" max="21" width="7.25"/>
  </cols>
  <sheetData>
    <row r="1">
      <c r="A1" s="2" t="s">
        <v>69</v>
      </c>
      <c r="B1" s="2" t="s">
        <v>4</v>
      </c>
      <c r="C1" s="2" t="s">
        <v>6</v>
      </c>
      <c r="D1" s="2" t="s">
        <v>7</v>
      </c>
      <c r="E1" s="2" t="s">
        <v>9</v>
      </c>
      <c r="F1" s="4"/>
      <c r="I1" s="4"/>
      <c r="J1" s="4"/>
      <c r="K1" s="4"/>
      <c r="L1" s="4"/>
      <c r="M1" s="4"/>
      <c r="N1" s="4"/>
      <c r="O1" s="4"/>
      <c r="P1" s="4"/>
      <c r="Q1" s="4"/>
      <c r="R1" s="4"/>
      <c r="S1" s="4"/>
      <c r="T1" s="4"/>
      <c r="U1" s="4"/>
      <c r="V1" s="4"/>
      <c r="W1" s="4"/>
      <c r="X1" s="4"/>
      <c r="Y1" s="4"/>
      <c r="Z1" s="4"/>
    </row>
    <row r="2">
      <c r="A2" s="8" t="s">
        <v>13</v>
      </c>
      <c r="B2" s="12">
        <f t="array" ref="B2">INDIRECT(TEXT(EDATE(DATE(2026, MATCH($A$1, {"January","February","March","April","May","June","July","August","September","October","November","December"}, 0), 1), -1), "mmm") &amp; " 26!B4")</f>
        <v>72.5</v>
      </c>
      <c r="C2" s="12">
        <f t="array" ref="C2">INDIRECT(TEXT(EDATE(DATE(2026, MATCH($A$1, {"January","February","March","April","May","June","July","August","September","October","November","December"}, 0), 1), -1), "mmm") &amp; " 26!C4")</f>
        <v>0</v>
      </c>
      <c r="D2" s="12">
        <f t="array" ref="D2">INDIRECT(TEXT(EDATE(DATE(2026, MATCH($A$1, {"January","February","March","April","May","June","July","August","September","October","November","December"}, 0), 1), -1), "mmm") &amp; " 26!D4")</f>
        <v>8</v>
      </c>
      <c r="E2" s="12">
        <f t="array" ref="E2">INDIRECT(TEXT(EDATE(DATE(2026, MATCH($A$1, {"January","February","March","April","May","June","July","August","September","October","November","December"}, 0), 1), -1), "mmm") &amp; " 26!E4")</f>
        <v>40</v>
      </c>
      <c r="F2" s="4"/>
      <c r="G2" s="2" t="s">
        <v>8</v>
      </c>
      <c r="H2" s="12">
        <f>'START HERE'!B6</f>
        <v>5</v>
      </c>
      <c r="I2" s="4"/>
      <c r="J2" s="4"/>
      <c r="K2" s="4"/>
      <c r="L2" s="4"/>
      <c r="M2" s="13"/>
      <c r="O2" s="4"/>
      <c r="P2" s="13"/>
      <c r="R2" s="4"/>
      <c r="S2" s="4"/>
      <c r="T2" s="4"/>
      <c r="U2" s="4"/>
      <c r="V2" s="4"/>
      <c r="W2" s="4"/>
      <c r="X2" s="4"/>
      <c r="Y2" s="4"/>
      <c r="Z2" s="4"/>
    </row>
    <row r="3">
      <c r="A3" s="8" t="s">
        <v>23</v>
      </c>
      <c r="B3" s="12">
        <f>B2+H2-F22</f>
        <v>77.5</v>
      </c>
      <c r="C3" s="12">
        <f>C2+D22-E22</f>
        <v>4</v>
      </c>
      <c r="D3" s="12">
        <f t="shared" ref="D3:E3" si="1">D2-I22</f>
        <v>8</v>
      </c>
      <c r="E3" s="12">
        <f t="shared" si="1"/>
        <v>40</v>
      </c>
      <c r="F3" s="4"/>
      <c r="G3" s="4"/>
      <c r="H3" s="4"/>
      <c r="I3" s="4"/>
      <c r="J3" s="4"/>
      <c r="K3" s="4"/>
      <c r="L3" s="4"/>
      <c r="M3" s="4"/>
      <c r="N3" s="4"/>
      <c r="O3" s="4"/>
      <c r="P3" s="4"/>
      <c r="Q3" s="4"/>
      <c r="R3" s="4"/>
      <c r="S3" s="4"/>
      <c r="T3" s="4"/>
      <c r="U3" s="4"/>
      <c r="V3" s="4"/>
      <c r="W3" s="4"/>
      <c r="X3" s="4"/>
      <c r="Y3" s="4"/>
      <c r="Z3" s="4"/>
    </row>
    <row r="4">
      <c r="A4" s="8" t="s">
        <v>25</v>
      </c>
      <c r="B4" s="12">
        <f>B3+H2-F42</f>
        <v>82.5</v>
      </c>
      <c r="C4" s="12">
        <f>C3+D42-E42</f>
        <v>9.5</v>
      </c>
      <c r="D4" s="12">
        <f t="shared" ref="D4:E4" si="2">D3-I42</f>
        <v>8</v>
      </c>
      <c r="E4" s="12">
        <f t="shared" si="2"/>
        <v>40</v>
      </c>
      <c r="F4" s="4"/>
      <c r="G4" s="4"/>
      <c r="H4" s="4"/>
      <c r="I4" s="4"/>
      <c r="J4" s="4"/>
      <c r="K4" s="4"/>
      <c r="L4" s="4"/>
      <c r="M4" s="4"/>
      <c r="N4" s="4"/>
      <c r="O4" s="4"/>
      <c r="P4" s="4"/>
      <c r="Q4" s="4"/>
      <c r="R4" s="4"/>
      <c r="S4" s="4"/>
      <c r="T4" s="4"/>
      <c r="U4" s="4"/>
      <c r="V4" s="4"/>
      <c r="W4" s="4"/>
      <c r="X4" s="4"/>
      <c r="Y4" s="4"/>
      <c r="Z4" s="4"/>
    </row>
    <row r="5">
      <c r="A5" s="4"/>
      <c r="B5" s="4"/>
      <c r="C5" s="4"/>
      <c r="D5" s="4"/>
      <c r="E5" s="4"/>
      <c r="F5" s="4"/>
      <c r="G5" s="4"/>
      <c r="H5" s="4"/>
      <c r="I5" s="4"/>
      <c r="J5" s="4"/>
      <c r="K5" s="4"/>
      <c r="L5" s="4"/>
      <c r="M5" s="4"/>
      <c r="N5" s="4"/>
      <c r="O5" s="4"/>
      <c r="P5" s="13"/>
      <c r="Q5" s="13"/>
      <c r="R5" s="4"/>
      <c r="S5" s="13"/>
      <c r="T5" s="13"/>
      <c r="U5" s="4"/>
      <c r="V5" s="4"/>
      <c r="W5" s="4"/>
      <c r="X5" s="4"/>
      <c r="Y5" s="4"/>
      <c r="Z5" s="4"/>
    </row>
    <row r="6">
      <c r="A6" s="2" t="s">
        <v>29</v>
      </c>
      <c r="B6" s="2" t="s">
        <v>30</v>
      </c>
      <c r="C6" s="14" t="str">
        <f t="array" ref="C6:L6">TRANSPOSE('Time Types'!A2:A11)</f>
        <v>Regular</v>
      </c>
      <c r="D6" s="14" t="s">
        <v>31</v>
      </c>
      <c r="E6" s="14" t="s">
        <v>32</v>
      </c>
      <c r="F6" s="14" t="s">
        <v>12</v>
      </c>
      <c r="G6" s="14" t="s">
        <v>33</v>
      </c>
      <c r="H6" s="14" t="s">
        <v>34</v>
      </c>
      <c r="I6" s="14" t="s">
        <v>14</v>
      </c>
      <c r="J6" s="14" t="s">
        <v>16</v>
      </c>
      <c r="K6" s="14" t="s">
        <v>35</v>
      </c>
      <c r="L6" s="14" t="s">
        <v>36</v>
      </c>
      <c r="M6" s="2" t="s">
        <v>37</v>
      </c>
      <c r="N6" s="2" t="s">
        <v>38</v>
      </c>
      <c r="O6" s="4"/>
      <c r="P6" s="13" t="s">
        <v>26</v>
      </c>
      <c r="Q6" s="13" t="s">
        <v>27</v>
      </c>
      <c r="R6" s="13" t="s">
        <v>28</v>
      </c>
      <c r="S6" s="13" t="s">
        <v>26</v>
      </c>
      <c r="T6" s="13" t="s">
        <v>27</v>
      </c>
      <c r="U6" s="13" t="s">
        <v>28</v>
      </c>
      <c r="W6" s="4"/>
      <c r="X6" s="4"/>
      <c r="Y6" s="4"/>
      <c r="Z6" s="4"/>
    </row>
    <row r="7">
      <c r="A7" s="15">
        <f>DATE(2026, MONTH(DATEVALUE($A$1 &amp; " 1")), 1)</f>
        <v>46054</v>
      </c>
      <c r="B7" s="16" t="str">
        <f t="shared" ref="B7:B21" si="3">text(A7,"ddd")</f>
        <v>Sun</v>
      </c>
      <c r="C7" s="18"/>
      <c r="D7" s="18"/>
      <c r="E7" s="18"/>
      <c r="F7" s="18"/>
      <c r="G7" s="18" t="str">
        <f>IF(COUNTIF(Holidays!$A$2:$A$12,$A7)&gt;0, 8,"")</f>
        <v/>
      </c>
      <c r="H7" s="18"/>
      <c r="I7" s="18"/>
      <c r="J7" s="18"/>
      <c r="K7" s="18"/>
      <c r="L7" s="18"/>
      <c r="M7" s="16" t="str">
        <f t="shared" ref="M7:M21" si="4">IF(OR(B7="Sat", B7="Sun"), "", sum(C7:J7))</f>
        <v/>
      </c>
      <c r="N7" s="16" t="str">
        <f t="shared" ref="N7:N21" si="5">IF(OR(B7="Sat", B7="Sun"), "", 8)</f>
        <v/>
      </c>
      <c r="O7" s="4"/>
      <c r="P7" s="4"/>
      <c r="Q7" s="4"/>
      <c r="R7" s="4"/>
      <c r="S7" s="4"/>
      <c r="T7" s="4"/>
      <c r="U7" s="4"/>
      <c r="W7" s="4"/>
      <c r="X7" s="4"/>
      <c r="Y7" s="4"/>
      <c r="Z7" s="4"/>
    </row>
    <row r="8">
      <c r="A8" s="15">
        <f t="shared" ref="A8:A21" si="6">A7+1</f>
        <v>46055</v>
      </c>
      <c r="B8" s="16" t="str">
        <f t="shared" si="3"/>
        <v>Mon</v>
      </c>
      <c r="C8" s="17">
        <v>8.0</v>
      </c>
      <c r="D8" s="17">
        <v>1.0</v>
      </c>
      <c r="E8" s="18"/>
      <c r="F8" s="18"/>
      <c r="G8" s="18" t="str">
        <f>IF(COUNTIF(Holidays!$A$2:$A$12,$A8)&gt;0, 8,"")</f>
        <v/>
      </c>
      <c r="H8" s="18"/>
      <c r="I8" s="18"/>
      <c r="J8" s="18"/>
      <c r="K8" s="18"/>
      <c r="L8" s="18"/>
      <c r="M8" s="16">
        <f t="shared" si="4"/>
        <v>9</v>
      </c>
      <c r="N8" s="16">
        <f t="shared" si="5"/>
        <v>8</v>
      </c>
      <c r="O8" s="4"/>
      <c r="P8" s="19">
        <v>0.2916666666666667</v>
      </c>
      <c r="Q8" s="19">
        <v>0.6666666666666666</v>
      </c>
      <c r="R8" s="21">
        <f t="shared" ref="R8:R11" si="7">(Q8-P8)*24</f>
        <v>9</v>
      </c>
      <c r="S8" s="19">
        <v>0.5416666666666666</v>
      </c>
      <c r="T8" s="19">
        <v>0.75</v>
      </c>
      <c r="U8" s="21">
        <f t="shared" ref="U8:U11" si="8">(T8-S8)*24</f>
        <v>5</v>
      </c>
      <c r="W8" s="4"/>
      <c r="X8" s="4"/>
      <c r="Y8" s="4"/>
      <c r="Z8" s="4"/>
    </row>
    <row r="9">
      <c r="A9" s="15">
        <f t="shared" si="6"/>
        <v>46056</v>
      </c>
      <c r="B9" s="16" t="str">
        <f t="shared" si="3"/>
        <v>Tue</v>
      </c>
      <c r="C9" s="17">
        <v>8.0</v>
      </c>
      <c r="D9" s="17">
        <v>1.0</v>
      </c>
      <c r="E9" s="18"/>
      <c r="F9" s="18"/>
      <c r="G9" s="18" t="str">
        <f>IF(COUNTIF(Holidays!$A$2:$A$12,$A9)&gt;0, 8,"")</f>
        <v/>
      </c>
      <c r="H9" s="18"/>
      <c r="I9" s="18"/>
      <c r="J9" s="18"/>
      <c r="K9" s="18"/>
      <c r="L9" s="18"/>
      <c r="M9" s="16">
        <f t="shared" si="4"/>
        <v>9</v>
      </c>
      <c r="N9" s="16">
        <f t="shared" si="5"/>
        <v>8</v>
      </c>
      <c r="O9" s="4"/>
      <c r="P9" s="19">
        <v>0.3194444444444444</v>
      </c>
      <c r="Q9" s="19">
        <v>0.7048611111111112</v>
      </c>
      <c r="R9" s="21">
        <f t="shared" si="7"/>
        <v>9.25</v>
      </c>
      <c r="S9" s="19">
        <v>0.25</v>
      </c>
      <c r="T9" s="20">
        <v>0.75</v>
      </c>
      <c r="U9" s="21">
        <f t="shared" si="8"/>
        <v>12</v>
      </c>
      <c r="W9" s="4"/>
      <c r="X9" s="4"/>
      <c r="Y9" s="4"/>
      <c r="Z9" s="4"/>
    </row>
    <row r="10">
      <c r="A10" s="15">
        <f t="shared" si="6"/>
        <v>46057</v>
      </c>
      <c r="B10" s="16" t="str">
        <f t="shared" si="3"/>
        <v>Wed</v>
      </c>
      <c r="C10" s="17">
        <v>8.0</v>
      </c>
      <c r="D10" s="17">
        <v>1.0</v>
      </c>
      <c r="E10" s="18"/>
      <c r="F10" s="18"/>
      <c r="G10" s="18" t="str">
        <f>IF(COUNTIF(Holidays!$A$2:$A$12,$A10)&gt;0, 8,"")</f>
        <v/>
      </c>
      <c r="H10" s="18"/>
      <c r="I10" s="18"/>
      <c r="J10" s="18"/>
      <c r="K10" s="18"/>
      <c r="L10" s="18"/>
      <c r="M10" s="16">
        <f t="shared" si="4"/>
        <v>9</v>
      </c>
      <c r="N10" s="16">
        <f t="shared" si="5"/>
        <v>8</v>
      </c>
      <c r="O10" s="4"/>
      <c r="P10" s="19">
        <v>0.3229166666666667</v>
      </c>
      <c r="Q10" s="19">
        <v>0.6875</v>
      </c>
      <c r="R10" s="21">
        <f t="shared" si="7"/>
        <v>8.75</v>
      </c>
      <c r="S10" s="19">
        <v>0.4166666666666667</v>
      </c>
      <c r="T10" s="19">
        <v>0.75</v>
      </c>
      <c r="U10" s="21">
        <f t="shared" si="8"/>
        <v>8</v>
      </c>
      <c r="W10" s="4"/>
      <c r="X10" s="4"/>
      <c r="Y10" s="4"/>
      <c r="Z10" s="4"/>
    </row>
    <row r="11">
      <c r="A11" s="15">
        <f t="shared" si="6"/>
        <v>46058</v>
      </c>
      <c r="B11" s="16" t="str">
        <f t="shared" si="3"/>
        <v>Thu</v>
      </c>
      <c r="C11" s="17">
        <v>8.5</v>
      </c>
      <c r="D11" s="17">
        <v>1.0</v>
      </c>
      <c r="E11" s="18"/>
      <c r="F11" s="18"/>
      <c r="G11" s="18" t="str">
        <f>IF(COUNTIF(Holidays!$A$2:$A$12,$A11)&gt;0, 8,"")</f>
        <v/>
      </c>
      <c r="H11" s="18"/>
      <c r="I11" s="18"/>
      <c r="J11" s="18"/>
      <c r="K11" s="18"/>
      <c r="L11" s="18"/>
      <c r="M11" s="16">
        <f t="shared" si="4"/>
        <v>9.5</v>
      </c>
      <c r="N11" s="16">
        <f t="shared" si="5"/>
        <v>8</v>
      </c>
      <c r="O11" s="4"/>
      <c r="P11" s="19">
        <v>0.34375</v>
      </c>
      <c r="Q11" s="19">
        <v>0.7395833333333334</v>
      </c>
      <c r="R11" s="21">
        <f t="shared" si="7"/>
        <v>9.5</v>
      </c>
      <c r="S11" s="19">
        <v>0.4166666666666667</v>
      </c>
      <c r="T11" s="19">
        <v>0.625</v>
      </c>
      <c r="U11" s="21">
        <f t="shared" si="8"/>
        <v>5</v>
      </c>
      <c r="W11" s="4"/>
      <c r="X11" s="4"/>
      <c r="Y11" s="4"/>
      <c r="Z11" s="4"/>
    </row>
    <row r="12">
      <c r="A12" s="15">
        <f t="shared" si="6"/>
        <v>46059</v>
      </c>
      <c r="B12" s="16" t="str">
        <f t="shared" si="3"/>
        <v>Fri</v>
      </c>
      <c r="C12" s="17">
        <v>8.0</v>
      </c>
      <c r="D12" s="17"/>
      <c r="E12" s="18"/>
      <c r="F12" s="18"/>
      <c r="G12" s="18" t="str">
        <f>IF(COUNTIF(Holidays!$A$2:$A$12,$A12)&gt;0, 8,"")</f>
        <v/>
      </c>
      <c r="H12" s="18"/>
      <c r="I12" s="18"/>
      <c r="J12" s="18"/>
      <c r="K12" s="18"/>
      <c r="L12" s="18"/>
      <c r="M12" s="16">
        <f t="shared" si="4"/>
        <v>8</v>
      </c>
      <c r="N12" s="16">
        <f t="shared" si="5"/>
        <v>8</v>
      </c>
      <c r="O12" s="4"/>
      <c r="P12" s="20">
        <v>0.3125</v>
      </c>
      <c r="Q12" s="20">
        <v>0.6875</v>
      </c>
      <c r="R12" s="21">
        <f>(Q12-P12)*24-1</f>
        <v>8</v>
      </c>
      <c r="S12" s="13">
        <v>0.0</v>
      </c>
      <c r="T12" s="13">
        <v>0.0</v>
      </c>
      <c r="U12" s="13">
        <v>8.0</v>
      </c>
      <c r="W12" s="13"/>
      <c r="X12" s="4"/>
      <c r="Y12" s="4"/>
      <c r="Z12" s="4"/>
    </row>
    <row r="13">
      <c r="A13" s="15">
        <f t="shared" si="6"/>
        <v>46060</v>
      </c>
      <c r="B13" s="16" t="str">
        <f t="shared" si="3"/>
        <v>Sat</v>
      </c>
      <c r="C13" s="17"/>
      <c r="D13" s="18"/>
      <c r="E13" s="18"/>
      <c r="F13" s="18"/>
      <c r="G13" s="18" t="str">
        <f>IF(COUNTIF(Holidays!$A$2:$A$12,$A13)&gt;0, 8,"")</f>
        <v/>
      </c>
      <c r="H13" s="18"/>
      <c r="I13" s="18"/>
      <c r="J13" s="18"/>
      <c r="K13" s="18"/>
      <c r="L13" s="18"/>
      <c r="M13" s="16" t="str">
        <f t="shared" si="4"/>
        <v/>
      </c>
      <c r="N13" s="16" t="str">
        <f t="shared" si="5"/>
        <v/>
      </c>
      <c r="O13" s="4"/>
      <c r="P13" s="19"/>
      <c r="Q13" s="19"/>
      <c r="R13" s="21">
        <f>sum(R8:R12)</f>
        <v>44.5</v>
      </c>
      <c r="S13" s="4"/>
      <c r="T13" s="4"/>
      <c r="U13" s="21">
        <f>sum(U8:U12)</f>
        <v>38</v>
      </c>
      <c r="W13" s="4"/>
      <c r="X13" s="4"/>
      <c r="Y13" s="4"/>
      <c r="Z13" s="4"/>
    </row>
    <row r="14">
      <c r="A14" s="15">
        <f t="shared" si="6"/>
        <v>46061</v>
      </c>
      <c r="B14" s="16" t="str">
        <f t="shared" si="3"/>
        <v>Sun</v>
      </c>
      <c r="C14" s="17"/>
      <c r="D14" s="18"/>
      <c r="E14" s="18"/>
      <c r="F14" s="18"/>
      <c r="G14" s="18" t="str">
        <f>IF(COUNTIF(Holidays!$A$2:$A$12,$A14)&gt;0, 8,"")</f>
        <v/>
      </c>
      <c r="H14" s="18"/>
      <c r="I14" s="18"/>
      <c r="J14" s="18"/>
      <c r="K14" s="18"/>
      <c r="L14" s="18"/>
      <c r="M14" s="16" t="str">
        <f t="shared" si="4"/>
        <v/>
      </c>
      <c r="N14" s="16" t="str">
        <f t="shared" si="5"/>
        <v/>
      </c>
      <c r="O14" s="4"/>
      <c r="P14" s="19"/>
      <c r="Q14" s="19"/>
      <c r="R14" s="21"/>
      <c r="S14" s="4"/>
      <c r="T14" s="4"/>
      <c r="U14" s="4"/>
      <c r="W14" s="4"/>
      <c r="X14" s="4"/>
      <c r="Y14" s="4"/>
      <c r="Z14" s="4"/>
    </row>
    <row r="15">
      <c r="A15" s="15">
        <f t="shared" si="6"/>
        <v>46062</v>
      </c>
      <c r="B15" s="16" t="str">
        <f t="shared" si="3"/>
        <v>Mon</v>
      </c>
      <c r="C15" s="17">
        <v>8.25</v>
      </c>
      <c r="D15" s="17"/>
      <c r="E15" s="18"/>
      <c r="F15" s="18"/>
      <c r="G15" s="18" t="str">
        <f>IF(COUNTIF(Holidays!$A$2:$A$12,$A15)&gt;0, 8,"")</f>
        <v/>
      </c>
      <c r="H15" s="18"/>
      <c r="I15" s="18"/>
      <c r="J15" s="18"/>
      <c r="K15" s="18"/>
      <c r="L15" s="18"/>
      <c r="M15" s="16">
        <f t="shared" si="4"/>
        <v>8.25</v>
      </c>
      <c r="N15" s="16">
        <f t="shared" si="5"/>
        <v>8</v>
      </c>
      <c r="O15" s="4"/>
      <c r="P15" s="20">
        <v>0.3229166666666667</v>
      </c>
      <c r="Q15" s="19">
        <v>0.6666666666666666</v>
      </c>
      <c r="R15" s="21">
        <f t="shared" ref="R15:R19" si="9">(Q15-P15)*24</f>
        <v>8.25</v>
      </c>
      <c r="S15" s="19">
        <v>0.5729166666666666</v>
      </c>
      <c r="T15" s="19">
        <v>0.75</v>
      </c>
      <c r="U15" s="21">
        <f t="shared" ref="U15:U19" si="10">(T15-S15)*24</f>
        <v>4.25</v>
      </c>
      <c r="W15" s="4"/>
      <c r="X15" s="4"/>
      <c r="Y15" s="4"/>
      <c r="Z15" s="4"/>
    </row>
    <row r="16">
      <c r="A16" s="15">
        <f t="shared" si="6"/>
        <v>46063</v>
      </c>
      <c r="B16" s="16" t="str">
        <f t="shared" si="3"/>
        <v>Tue</v>
      </c>
      <c r="C16" s="17">
        <v>9.25</v>
      </c>
      <c r="D16" s="17"/>
      <c r="E16" s="18"/>
      <c r="F16" s="18"/>
      <c r="G16" s="18" t="str">
        <f>IF(COUNTIF(Holidays!$A$2:$A$12,$A16)&gt;0, 8,"")</f>
        <v/>
      </c>
      <c r="H16" s="18"/>
      <c r="I16" s="18"/>
      <c r="J16" s="18"/>
      <c r="K16" s="18"/>
      <c r="L16" s="18"/>
      <c r="M16" s="16">
        <f t="shared" si="4"/>
        <v>9.25</v>
      </c>
      <c r="N16" s="16">
        <f t="shared" si="5"/>
        <v>8</v>
      </c>
      <c r="O16" s="4"/>
      <c r="P16" s="19">
        <v>0.3333333333333333</v>
      </c>
      <c r="Q16" s="20">
        <v>0.71875</v>
      </c>
      <c r="R16" s="21">
        <f t="shared" si="9"/>
        <v>9.25</v>
      </c>
      <c r="S16" s="19">
        <v>0.25</v>
      </c>
      <c r="T16" s="20">
        <v>0.75</v>
      </c>
      <c r="U16" s="21">
        <f t="shared" si="10"/>
        <v>12</v>
      </c>
      <c r="W16" s="13"/>
      <c r="X16" s="4"/>
      <c r="Y16" s="4"/>
      <c r="Z16" s="4"/>
    </row>
    <row r="17">
      <c r="A17" s="15">
        <f t="shared" si="6"/>
        <v>46064</v>
      </c>
      <c r="B17" s="16" t="str">
        <f t="shared" si="3"/>
        <v>Wed</v>
      </c>
      <c r="C17" s="17">
        <v>9.25</v>
      </c>
      <c r="D17" s="17"/>
      <c r="E17" s="18"/>
      <c r="F17" s="18"/>
      <c r="G17" s="18" t="str">
        <f>IF(COUNTIF(Holidays!$A$2:$A$12,$A17)&gt;0, 8,"")</f>
        <v/>
      </c>
      <c r="H17" s="18"/>
      <c r="I17" s="18"/>
      <c r="J17" s="18"/>
      <c r="K17" s="18"/>
      <c r="L17" s="18"/>
      <c r="M17" s="16">
        <f t="shared" si="4"/>
        <v>9.25</v>
      </c>
      <c r="N17" s="16">
        <f t="shared" si="5"/>
        <v>8</v>
      </c>
      <c r="O17" s="4"/>
      <c r="P17" s="20">
        <v>0.3229166666666667</v>
      </c>
      <c r="Q17" s="19">
        <v>0.7083333333333334</v>
      </c>
      <c r="R17" s="21">
        <f t="shared" si="9"/>
        <v>9.25</v>
      </c>
      <c r="S17" s="19">
        <v>0.3541666666666667</v>
      </c>
      <c r="T17" s="19">
        <v>0.75</v>
      </c>
      <c r="U17" s="21">
        <f t="shared" si="10"/>
        <v>9.5</v>
      </c>
      <c r="W17" s="4"/>
      <c r="X17" s="4"/>
      <c r="Y17" s="4"/>
      <c r="Z17" s="4"/>
    </row>
    <row r="18">
      <c r="A18" s="15">
        <f t="shared" si="6"/>
        <v>46065</v>
      </c>
      <c r="B18" s="16" t="str">
        <f t="shared" si="3"/>
        <v>Thu</v>
      </c>
      <c r="C18" s="17">
        <v>8.75</v>
      </c>
      <c r="D18" s="17"/>
      <c r="E18" s="18"/>
      <c r="F18" s="18"/>
      <c r="G18" s="18" t="str">
        <f>IF(COUNTIF(Holidays!$A$2:$A$12,$A18)&gt;0, 8,"")</f>
        <v/>
      </c>
      <c r="H18" s="18"/>
      <c r="I18" s="18"/>
      <c r="J18" s="18"/>
      <c r="K18" s="18"/>
      <c r="L18" s="18"/>
      <c r="M18" s="16">
        <f t="shared" si="4"/>
        <v>8.75</v>
      </c>
      <c r="N18" s="16">
        <f t="shared" si="5"/>
        <v>8</v>
      </c>
      <c r="O18" s="4"/>
      <c r="P18" s="19">
        <v>0.375</v>
      </c>
      <c r="Q18" s="19">
        <v>0.7395833333333334</v>
      </c>
      <c r="R18" s="21">
        <f t="shared" si="9"/>
        <v>8.75</v>
      </c>
      <c r="S18" s="19">
        <v>0.3854166666666667</v>
      </c>
      <c r="T18" s="19">
        <v>0.75</v>
      </c>
      <c r="U18" s="21">
        <f t="shared" si="10"/>
        <v>8.75</v>
      </c>
      <c r="W18" s="4"/>
      <c r="X18" s="4"/>
      <c r="Y18" s="4"/>
      <c r="Z18" s="4"/>
    </row>
    <row r="19">
      <c r="A19" s="15">
        <f t="shared" si="6"/>
        <v>46066</v>
      </c>
      <c r="B19" s="16" t="str">
        <f t="shared" si="3"/>
        <v>Fri</v>
      </c>
      <c r="C19" s="17">
        <v>4.0</v>
      </c>
      <c r="D19" s="17"/>
      <c r="E19" s="18"/>
      <c r="F19" s="18"/>
      <c r="G19" s="18" t="str">
        <f>IF(COUNTIF(Holidays!$A$2:$A$12,$A19)&gt;0, 8,"")</f>
        <v/>
      </c>
      <c r="H19" s="18"/>
      <c r="I19" s="18"/>
      <c r="J19" s="18"/>
      <c r="K19" s="18"/>
      <c r="L19" s="18"/>
      <c r="M19" s="16">
        <f t="shared" si="4"/>
        <v>4</v>
      </c>
      <c r="N19" s="16">
        <f t="shared" si="5"/>
        <v>8</v>
      </c>
      <c r="O19" s="4"/>
      <c r="P19" s="20">
        <v>0.2847222222222222</v>
      </c>
      <c r="Q19" s="19">
        <v>0.4513888888888889</v>
      </c>
      <c r="R19" s="21">
        <f t="shared" si="9"/>
        <v>4</v>
      </c>
      <c r="S19" s="19">
        <v>0.375</v>
      </c>
      <c r="T19" s="20">
        <v>0.75</v>
      </c>
      <c r="U19" s="21">
        <f t="shared" si="10"/>
        <v>9</v>
      </c>
      <c r="W19" s="4"/>
      <c r="X19" s="4"/>
      <c r="Y19" s="4"/>
      <c r="Z19" s="4"/>
    </row>
    <row r="20">
      <c r="A20" s="15">
        <f t="shared" si="6"/>
        <v>46067</v>
      </c>
      <c r="B20" s="16" t="str">
        <f t="shared" si="3"/>
        <v>Sat</v>
      </c>
      <c r="C20" s="17"/>
      <c r="D20" s="18"/>
      <c r="E20" s="18"/>
      <c r="F20" s="18"/>
      <c r="G20" s="18" t="str">
        <f>IF(COUNTIF(Holidays!$A$2:$A$12,$A20)&gt;0, 8,"")</f>
        <v/>
      </c>
      <c r="H20" s="18"/>
      <c r="I20" s="18"/>
      <c r="J20" s="18"/>
      <c r="K20" s="18"/>
      <c r="L20" s="18"/>
      <c r="M20" s="16" t="str">
        <f t="shared" si="4"/>
        <v/>
      </c>
      <c r="N20" s="16" t="str">
        <f t="shared" si="5"/>
        <v/>
      </c>
      <c r="O20" s="4"/>
      <c r="P20" s="4"/>
      <c r="Q20" s="4"/>
      <c r="R20" s="21">
        <f>sum(R15:R19)</f>
        <v>39.5</v>
      </c>
      <c r="S20" s="4"/>
      <c r="T20" s="4"/>
      <c r="U20" s="21">
        <f>sum(U15:U19)</f>
        <v>43.5</v>
      </c>
      <c r="W20" s="4"/>
      <c r="X20" s="4"/>
      <c r="Y20" s="4"/>
      <c r="Z20" s="4"/>
    </row>
    <row r="21">
      <c r="A21" s="15">
        <f t="shared" si="6"/>
        <v>46068</v>
      </c>
      <c r="B21" s="16" t="str">
        <f t="shared" si="3"/>
        <v>Sun</v>
      </c>
      <c r="C21" s="17"/>
      <c r="D21" s="18"/>
      <c r="E21" s="18"/>
      <c r="F21" s="18"/>
      <c r="G21" s="18" t="str">
        <f>IF(COUNTIF(Holidays!$A$2:$A$12,$A21)&gt;0, 8,"")</f>
        <v/>
      </c>
      <c r="H21" s="18"/>
      <c r="I21" s="18"/>
      <c r="J21" s="18"/>
      <c r="K21" s="18"/>
      <c r="L21" s="18"/>
      <c r="M21" s="16" t="str">
        <f t="shared" si="4"/>
        <v/>
      </c>
      <c r="N21" s="16" t="str">
        <f t="shared" si="5"/>
        <v/>
      </c>
      <c r="O21" s="4"/>
      <c r="P21" s="4"/>
      <c r="Q21" s="4"/>
      <c r="R21" s="4"/>
      <c r="S21" s="4"/>
      <c r="T21" s="4"/>
      <c r="U21" s="4"/>
      <c r="W21" s="4"/>
      <c r="X21" s="4"/>
      <c r="Y21" s="4"/>
      <c r="Z21" s="4"/>
    </row>
    <row r="22">
      <c r="A22" s="2" t="s">
        <v>47</v>
      </c>
      <c r="C22" s="14">
        <f t="shared" ref="C22:N22" si="11">sum(C7:C21)</f>
        <v>80</v>
      </c>
      <c r="D22" s="14">
        <f t="shared" si="11"/>
        <v>4</v>
      </c>
      <c r="E22" s="14">
        <f t="shared" si="11"/>
        <v>0</v>
      </c>
      <c r="F22" s="14">
        <f t="shared" si="11"/>
        <v>0</v>
      </c>
      <c r="G22" s="14">
        <f t="shared" si="11"/>
        <v>0</v>
      </c>
      <c r="H22" s="14">
        <f t="shared" si="11"/>
        <v>0</v>
      </c>
      <c r="I22" s="14">
        <f t="shared" si="11"/>
        <v>0</v>
      </c>
      <c r="J22" s="14">
        <f t="shared" si="11"/>
        <v>0</v>
      </c>
      <c r="K22" s="14">
        <f t="shared" si="11"/>
        <v>0</v>
      </c>
      <c r="L22" s="14">
        <f t="shared" si="11"/>
        <v>0</v>
      </c>
      <c r="M22" s="14">
        <f t="shared" si="11"/>
        <v>84</v>
      </c>
      <c r="N22" s="14">
        <f t="shared" si="11"/>
        <v>80</v>
      </c>
      <c r="O22" s="4"/>
      <c r="P22" s="4"/>
      <c r="Q22" s="4"/>
      <c r="R22" s="21">
        <f>R13+R20</f>
        <v>84</v>
      </c>
      <c r="S22" s="4"/>
      <c r="T22" s="4"/>
      <c r="U22" s="21">
        <f>U13+U20</f>
        <v>81.5</v>
      </c>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2" t="s">
        <v>49</v>
      </c>
      <c r="B25" s="2" t="s">
        <v>30</v>
      </c>
      <c r="C25" s="14" t="str">
        <f t="array" ref="C25:L25">transpose('Time Types'!A2:A11)</f>
        <v>Regular</v>
      </c>
      <c r="D25" s="14" t="s">
        <v>31</v>
      </c>
      <c r="E25" s="14" t="s">
        <v>32</v>
      </c>
      <c r="F25" s="14" t="s">
        <v>12</v>
      </c>
      <c r="G25" s="14" t="s">
        <v>33</v>
      </c>
      <c r="H25" s="14" t="s">
        <v>34</v>
      </c>
      <c r="I25" s="14" t="s">
        <v>14</v>
      </c>
      <c r="J25" s="14" t="s">
        <v>16</v>
      </c>
      <c r="K25" s="14" t="s">
        <v>35</v>
      </c>
      <c r="L25" s="14" t="s">
        <v>36</v>
      </c>
      <c r="M25" s="2" t="s">
        <v>37</v>
      </c>
      <c r="N25" s="2" t="s">
        <v>38</v>
      </c>
      <c r="O25" s="4"/>
      <c r="P25" s="4"/>
      <c r="Q25" s="4"/>
      <c r="R25" s="4"/>
      <c r="S25" s="4"/>
      <c r="T25" s="4"/>
      <c r="U25" s="4"/>
      <c r="V25" s="4"/>
      <c r="W25" s="4"/>
      <c r="X25" s="4"/>
      <c r="Y25" s="4"/>
      <c r="Z25" s="4"/>
    </row>
    <row r="26">
      <c r="A26" s="15">
        <f>A21+1</f>
        <v>46069</v>
      </c>
      <c r="B26" s="16" t="str">
        <f t="shared" ref="B26:B38" si="12">text(A26,"ddd")</f>
        <v>Mon</v>
      </c>
      <c r="C26" s="17"/>
      <c r="D26" s="18"/>
      <c r="E26" s="18"/>
      <c r="F26" s="18"/>
      <c r="G26" s="18">
        <f>IF(COUNTIF(Holidays!$A$2:$A$12,$A26)&gt;0, 8,"")</f>
        <v>8</v>
      </c>
      <c r="H26" s="18"/>
      <c r="I26" s="18"/>
      <c r="J26" s="18"/>
      <c r="K26" s="18"/>
      <c r="L26" s="18"/>
      <c r="M26" s="16">
        <f t="shared" ref="M26:M38" si="13">IF(OR(B26="Sat", B26="Sun"), "", sum(C26:J26))</f>
        <v>8</v>
      </c>
      <c r="N26" s="16">
        <f t="shared" ref="N26:N38" si="14">IF(OR(B26="Sat", B26="Sun"), "", 8)</f>
        <v>8</v>
      </c>
      <c r="O26" s="4"/>
      <c r="P26" s="19">
        <v>0.3333333333333333</v>
      </c>
      <c r="Q26" s="20">
        <v>0.6666666666666666</v>
      </c>
      <c r="R26" s="21">
        <f t="shared" ref="R26:R28" si="15">(Q26-P26)*24</f>
        <v>8</v>
      </c>
      <c r="S26" s="42">
        <v>0.3333333333333333</v>
      </c>
      <c r="T26" s="42">
        <v>0.6666666666666666</v>
      </c>
      <c r="U26" s="21">
        <f t="shared" ref="U26:U30" si="16">(T26-S26)*24</f>
        <v>8</v>
      </c>
      <c r="V26" s="4"/>
      <c r="W26" s="4"/>
      <c r="X26" s="4"/>
      <c r="Y26" s="4"/>
      <c r="Z26" s="4"/>
    </row>
    <row r="27">
      <c r="A27" s="15">
        <f t="shared" ref="A27:A38" si="17">A26+1</f>
        <v>46070</v>
      </c>
      <c r="B27" s="16" t="str">
        <f t="shared" si="12"/>
        <v>Tue</v>
      </c>
      <c r="C27" s="17">
        <v>8.0</v>
      </c>
      <c r="D27" s="17">
        <v>1.5</v>
      </c>
      <c r="E27" s="18"/>
      <c r="F27" s="18"/>
      <c r="G27" s="18" t="str">
        <f>IF(COUNTIF(Holidays!$A$2:$A$12,$A27)&gt;0, 8,"")</f>
        <v/>
      </c>
      <c r="H27" s="18"/>
      <c r="I27" s="18"/>
      <c r="J27" s="18"/>
      <c r="K27" s="18"/>
      <c r="L27" s="18"/>
      <c r="M27" s="16">
        <f t="shared" si="13"/>
        <v>9.5</v>
      </c>
      <c r="N27" s="16">
        <f t="shared" si="14"/>
        <v>8</v>
      </c>
      <c r="O27" s="4"/>
      <c r="P27" s="19">
        <v>0.3333333333333333</v>
      </c>
      <c r="Q27" s="20">
        <v>0.7291666666666666</v>
      </c>
      <c r="R27" s="21">
        <f t="shared" si="15"/>
        <v>9.5</v>
      </c>
      <c r="S27" s="20">
        <v>0.4166666666666667</v>
      </c>
      <c r="T27" s="20">
        <v>0.6041666666666666</v>
      </c>
      <c r="U27" s="21">
        <f t="shared" si="16"/>
        <v>4.5</v>
      </c>
      <c r="V27" s="4"/>
      <c r="W27" s="4"/>
      <c r="X27" s="4"/>
      <c r="Y27" s="4"/>
      <c r="Z27" s="4"/>
    </row>
    <row r="28">
      <c r="A28" s="15">
        <f t="shared" si="17"/>
        <v>46071</v>
      </c>
      <c r="B28" s="16" t="str">
        <f t="shared" si="12"/>
        <v>Wed</v>
      </c>
      <c r="C28" s="17">
        <v>8.0</v>
      </c>
      <c r="D28" s="17">
        <v>1.5</v>
      </c>
      <c r="E28" s="18"/>
      <c r="F28" s="18"/>
      <c r="G28" s="18" t="str">
        <f>IF(COUNTIF(Holidays!$A$2:$A$12,$A28)&gt;0, 8,"")</f>
        <v/>
      </c>
      <c r="H28" s="18"/>
      <c r="I28" s="18"/>
      <c r="J28" s="18"/>
      <c r="K28" s="18"/>
      <c r="L28" s="18"/>
      <c r="M28" s="16">
        <f t="shared" si="13"/>
        <v>9.5</v>
      </c>
      <c r="N28" s="16">
        <f t="shared" si="14"/>
        <v>8</v>
      </c>
      <c r="O28" s="4"/>
      <c r="P28" s="19">
        <v>0.2951388888888889</v>
      </c>
      <c r="Q28" s="19">
        <v>0.6909722222222222</v>
      </c>
      <c r="R28" s="21">
        <f t="shared" si="15"/>
        <v>9.5</v>
      </c>
      <c r="S28" s="20">
        <v>0.25</v>
      </c>
      <c r="T28" s="20">
        <v>0.6458333333333334</v>
      </c>
      <c r="U28" s="21">
        <f t="shared" si="16"/>
        <v>9.5</v>
      </c>
      <c r="V28" s="4"/>
      <c r="W28" s="4"/>
      <c r="X28" s="4"/>
      <c r="Y28" s="4"/>
      <c r="Z28" s="4"/>
    </row>
    <row r="29">
      <c r="A29" s="15">
        <f t="shared" si="17"/>
        <v>46072</v>
      </c>
      <c r="B29" s="16" t="str">
        <f t="shared" si="12"/>
        <v>Thu</v>
      </c>
      <c r="C29" s="17">
        <v>7.5</v>
      </c>
      <c r="D29" s="17"/>
      <c r="E29" s="18"/>
      <c r="F29" s="18"/>
      <c r="G29" s="18" t="str">
        <f>IF(COUNTIF(Holidays!$A$2:$A$12,$A29)&gt;0, 8,"")</f>
        <v/>
      </c>
      <c r="H29" s="18"/>
      <c r="I29" s="18"/>
      <c r="J29" s="18"/>
      <c r="K29" s="18"/>
      <c r="L29" s="18"/>
      <c r="M29" s="16">
        <f t="shared" si="13"/>
        <v>7.5</v>
      </c>
      <c r="N29" s="16">
        <f t="shared" si="14"/>
        <v>8</v>
      </c>
      <c r="O29" s="4"/>
      <c r="P29" s="19">
        <v>0.3333333333333333</v>
      </c>
      <c r="Q29" s="20">
        <v>0.7291666666666666</v>
      </c>
      <c r="R29" s="21">
        <f>(Q29-P29)*24-2</f>
        <v>7.5</v>
      </c>
      <c r="S29" s="20">
        <v>0.3333333333333333</v>
      </c>
      <c r="T29" s="20">
        <v>0.6666666666666666</v>
      </c>
      <c r="U29" s="21">
        <f t="shared" si="16"/>
        <v>8</v>
      </c>
      <c r="V29" s="13" t="s">
        <v>43</v>
      </c>
      <c r="W29" s="4"/>
      <c r="X29" s="4"/>
      <c r="Y29" s="4"/>
      <c r="Z29" s="4"/>
    </row>
    <row r="30">
      <c r="A30" s="15">
        <f t="shared" si="17"/>
        <v>46073</v>
      </c>
      <c r="B30" s="16" t="str">
        <f t="shared" si="12"/>
        <v>Fri</v>
      </c>
      <c r="C30" s="17">
        <v>8.5</v>
      </c>
      <c r="D30" s="17">
        <v>0.5</v>
      </c>
      <c r="E30" s="18"/>
      <c r="F30" s="18"/>
      <c r="G30" s="18" t="str">
        <f>IF(COUNTIF(Holidays!$A$2:$A$12,$A30)&gt;0, 8,"")</f>
        <v/>
      </c>
      <c r="H30" s="18"/>
      <c r="I30" s="18"/>
      <c r="J30" s="18"/>
      <c r="K30" s="18"/>
      <c r="L30" s="18"/>
      <c r="M30" s="16">
        <f t="shared" si="13"/>
        <v>9</v>
      </c>
      <c r="N30" s="16">
        <f t="shared" si="14"/>
        <v>8</v>
      </c>
      <c r="O30" s="4"/>
      <c r="P30" s="19">
        <v>0.3020833333333333</v>
      </c>
      <c r="Q30" s="19">
        <v>0.6770833333333334</v>
      </c>
      <c r="R30" s="21">
        <f>(Q30-P30)*24</f>
        <v>9</v>
      </c>
      <c r="S30" s="20">
        <v>0.3333333333333333</v>
      </c>
      <c r="T30" s="20">
        <v>0.6666666666666666</v>
      </c>
      <c r="U30" s="21">
        <f t="shared" si="16"/>
        <v>8</v>
      </c>
      <c r="V30" s="13" t="s">
        <v>43</v>
      </c>
      <c r="W30" s="4"/>
      <c r="X30" s="4"/>
      <c r="Y30" s="4"/>
      <c r="Z30" s="4"/>
    </row>
    <row r="31">
      <c r="A31" s="15">
        <f t="shared" si="17"/>
        <v>46074</v>
      </c>
      <c r="B31" s="16" t="str">
        <f t="shared" si="12"/>
        <v>Sat</v>
      </c>
      <c r="C31" s="17"/>
      <c r="D31" s="18"/>
      <c r="E31" s="18"/>
      <c r="F31" s="18"/>
      <c r="G31" s="18" t="str">
        <f>IF(COUNTIF(Holidays!$A$2:$A$12,$A31)&gt;0, 8,"")</f>
        <v/>
      </c>
      <c r="H31" s="18"/>
      <c r="I31" s="18"/>
      <c r="J31" s="18"/>
      <c r="K31" s="18"/>
      <c r="L31" s="18"/>
      <c r="M31" s="16" t="str">
        <f t="shared" si="13"/>
        <v/>
      </c>
      <c r="N31" s="16" t="str">
        <f t="shared" si="14"/>
        <v/>
      </c>
      <c r="O31" s="4"/>
      <c r="P31" s="19"/>
      <c r="Q31" s="19"/>
      <c r="R31" s="21">
        <f>sum(R26:R30)</f>
        <v>43.5</v>
      </c>
      <c r="S31" s="4"/>
      <c r="T31" s="4"/>
      <c r="U31" s="21">
        <f>sum(U26:U30)</f>
        <v>38</v>
      </c>
      <c r="V31" s="4"/>
      <c r="W31" s="4"/>
      <c r="X31" s="4"/>
      <c r="Y31" s="4"/>
      <c r="Z31" s="4"/>
    </row>
    <row r="32">
      <c r="A32" s="15">
        <f t="shared" si="17"/>
        <v>46075</v>
      </c>
      <c r="B32" s="16" t="str">
        <f t="shared" si="12"/>
        <v>Sun</v>
      </c>
      <c r="C32" s="17"/>
      <c r="D32" s="18"/>
      <c r="E32" s="18"/>
      <c r="F32" s="18"/>
      <c r="G32" s="18" t="str">
        <f>IF(COUNTIF(Holidays!$A$2:$A$12,$A32)&gt;0, 8,"")</f>
        <v/>
      </c>
      <c r="H32" s="18"/>
      <c r="I32" s="18"/>
      <c r="J32" s="18"/>
      <c r="K32" s="18"/>
      <c r="L32" s="18"/>
      <c r="M32" s="16" t="str">
        <f t="shared" si="13"/>
        <v/>
      </c>
      <c r="N32" s="16" t="str">
        <f t="shared" si="14"/>
        <v/>
      </c>
      <c r="O32" s="4"/>
      <c r="P32" s="19"/>
      <c r="Q32" s="19"/>
      <c r="R32" s="21"/>
      <c r="S32" s="4"/>
      <c r="T32" s="4"/>
      <c r="U32" s="4"/>
      <c r="V32" s="4"/>
      <c r="W32" s="4"/>
      <c r="X32" s="4"/>
      <c r="Y32" s="4"/>
      <c r="Z32" s="4"/>
    </row>
    <row r="33">
      <c r="A33" s="15">
        <f t="shared" si="17"/>
        <v>46076</v>
      </c>
      <c r="B33" s="16" t="str">
        <f t="shared" si="12"/>
        <v>Mon</v>
      </c>
      <c r="C33" s="17">
        <v>9.25</v>
      </c>
      <c r="D33" s="17"/>
      <c r="E33" s="18"/>
      <c r="F33" s="18"/>
      <c r="G33" s="18" t="str">
        <f>IF(COUNTIF(Holidays!$A$2:$A$12,$A33)&gt;0, 8,"")</f>
        <v/>
      </c>
      <c r="H33" s="18"/>
      <c r="I33" s="18"/>
      <c r="J33" s="18"/>
      <c r="K33" s="18"/>
      <c r="L33" s="18"/>
      <c r="M33" s="16">
        <f t="shared" si="13"/>
        <v>9.25</v>
      </c>
      <c r="N33" s="16">
        <f t="shared" si="14"/>
        <v>8</v>
      </c>
      <c r="O33" s="4"/>
      <c r="P33" s="19">
        <v>0.3541666666666667</v>
      </c>
      <c r="Q33" s="19">
        <v>0.7395833333333334</v>
      </c>
      <c r="R33" s="21">
        <f t="shared" ref="R33:R37" si="18">(Q33-P33)*24</f>
        <v>9.25</v>
      </c>
      <c r="S33" s="23">
        <v>0.375</v>
      </c>
      <c r="T33" s="20">
        <v>0.7395833333333334</v>
      </c>
      <c r="U33" s="21">
        <f t="shared" ref="U33:U37" si="19">(T33-S33)*24</f>
        <v>8.75</v>
      </c>
      <c r="V33" s="4"/>
      <c r="W33" s="4"/>
      <c r="X33" s="4"/>
      <c r="Y33" s="4"/>
      <c r="Z33" s="4"/>
    </row>
    <row r="34">
      <c r="A34" s="15">
        <f t="shared" si="17"/>
        <v>46077</v>
      </c>
      <c r="B34" s="16" t="str">
        <f t="shared" si="12"/>
        <v>Tue</v>
      </c>
      <c r="C34" s="17">
        <v>6.75</v>
      </c>
      <c r="D34" s="17"/>
      <c r="E34" s="18"/>
      <c r="F34" s="18"/>
      <c r="G34" s="18" t="str">
        <f>IF(COUNTIF(Holidays!$A$2:$A$12,$A34)&gt;0, 8,"")</f>
        <v/>
      </c>
      <c r="H34" s="18"/>
      <c r="I34" s="18"/>
      <c r="J34" s="18"/>
      <c r="K34" s="18"/>
      <c r="L34" s="18"/>
      <c r="M34" s="16">
        <f t="shared" si="13"/>
        <v>6.75</v>
      </c>
      <c r="N34" s="16">
        <f t="shared" si="14"/>
        <v>8</v>
      </c>
      <c r="O34" s="4"/>
      <c r="P34" s="19">
        <v>0.3333333333333333</v>
      </c>
      <c r="Q34" s="19">
        <v>0.6145833333333334</v>
      </c>
      <c r="R34" s="21">
        <f t="shared" si="18"/>
        <v>6.75</v>
      </c>
      <c r="S34" s="20">
        <v>0.4097222222222222</v>
      </c>
      <c r="T34" s="20">
        <v>0.7430555555555556</v>
      </c>
      <c r="U34" s="21">
        <f t="shared" si="19"/>
        <v>8</v>
      </c>
      <c r="V34" s="4"/>
      <c r="W34" s="4"/>
      <c r="X34" s="4"/>
      <c r="Y34" s="4"/>
      <c r="Z34" s="4"/>
    </row>
    <row r="35">
      <c r="A35" s="15">
        <f t="shared" si="17"/>
        <v>46078</v>
      </c>
      <c r="B35" s="16" t="str">
        <f t="shared" si="12"/>
        <v>Wed</v>
      </c>
      <c r="C35" s="17">
        <v>8.0</v>
      </c>
      <c r="D35" s="17">
        <v>0.5</v>
      </c>
      <c r="E35" s="18"/>
      <c r="F35" s="18"/>
      <c r="G35" s="18" t="str">
        <f>IF(COUNTIF(Holidays!$A$2:$A$12,$A35)&gt;0, 8,"")</f>
        <v/>
      </c>
      <c r="H35" s="18"/>
      <c r="I35" s="18"/>
      <c r="J35" s="18"/>
      <c r="K35" s="18"/>
      <c r="L35" s="18"/>
      <c r="M35" s="16">
        <f t="shared" si="13"/>
        <v>8.5</v>
      </c>
      <c r="N35" s="16">
        <f t="shared" si="14"/>
        <v>8</v>
      </c>
      <c r="O35" s="4"/>
      <c r="P35" s="19">
        <v>0.3333333333333333</v>
      </c>
      <c r="Q35" s="19">
        <v>0.6875</v>
      </c>
      <c r="R35" s="21">
        <f t="shared" si="18"/>
        <v>8.5</v>
      </c>
      <c r="S35" s="20">
        <v>0.25</v>
      </c>
      <c r="T35" s="20"/>
      <c r="U35" s="21">
        <f t="shared" si="19"/>
        <v>-6</v>
      </c>
      <c r="V35" s="4"/>
      <c r="W35" s="4"/>
      <c r="X35" s="4"/>
      <c r="Y35" s="4"/>
      <c r="Z35" s="4"/>
    </row>
    <row r="36">
      <c r="A36" s="15">
        <f t="shared" si="17"/>
        <v>46079</v>
      </c>
      <c r="B36" s="16" t="str">
        <f t="shared" si="12"/>
        <v>Thu</v>
      </c>
      <c r="C36" s="17">
        <v>8.0</v>
      </c>
      <c r="D36" s="17">
        <v>1.0</v>
      </c>
      <c r="E36" s="18"/>
      <c r="F36" s="18"/>
      <c r="G36" s="18" t="str">
        <f>IF(COUNTIF(Holidays!$A$2:$A$12,$A36)&gt;0, 8,"")</f>
        <v/>
      </c>
      <c r="H36" s="18"/>
      <c r="I36" s="18"/>
      <c r="J36" s="18"/>
      <c r="K36" s="18"/>
      <c r="L36" s="18"/>
      <c r="M36" s="16">
        <f t="shared" si="13"/>
        <v>9</v>
      </c>
      <c r="N36" s="16">
        <f t="shared" si="14"/>
        <v>8</v>
      </c>
      <c r="O36" s="4"/>
      <c r="P36" s="19">
        <v>0.34375</v>
      </c>
      <c r="Q36" s="19">
        <v>0.7291666666666666</v>
      </c>
      <c r="R36" s="21">
        <f t="shared" si="18"/>
        <v>9.25</v>
      </c>
      <c r="S36" s="4"/>
      <c r="T36" s="4"/>
      <c r="U36" s="21">
        <f t="shared" si="19"/>
        <v>0</v>
      </c>
      <c r="V36" s="4"/>
      <c r="W36" s="4"/>
      <c r="X36" s="4"/>
      <c r="Y36" s="4"/>
      <c r="Z36" s="4"/>
    </row>
    <row r="37">
      <c r="A37" s="15">
        <f t="shared" si="17"/>
        <v>46080</v>
      </c>
      <c r="B37" s="16" t="str">
        <f t="shared" si="12"/>
        <v>Fri</v>
      </c>
      <c r="C37" s="17">
        <v>8.0</v>
      </c>
      <c r="D37" s="17">
        <v>0.5</v>
      </c>
      <c r="E37" s="18"/>
      <c r="F37" s="18"/>
      <c r="G37" s="18" t="str">
        <f>IF(COUNTIF(Holidays!$A$2:$A$12,$A37)&gt;0, 8,"")</f>
        <v/>
      </c>
      <c r="H37" s="18"/>
      <c r="I37" s="18"/>
      <c r="J37" s="18"/>
      <c r="K37" s="18"/>
      <c r="L37" s="18"/>
      <c r="M37" s="16">
        <f t="shared" si="13"/>
        <v>8.5</v>
      </c>
      <c r="N37" s="16">
        <f t="shared" si="14"/>
        <v>8</v>
      </c>
      <c r="O37" s="4"/>
      <c r="P37" s="19">
        <v>0.34375</v>
      </c>
      <c r="Q37" s="19">
        <v>0.6770833333333334</v>
      </c>
      <c r="R37" s="21">
        <f t="shared" si="18"/>
        <v>8</v>
      </c>
      <c r="S37" s="4"/>
      <c r="T37" s="4"/>
      <c r="U37" s="21">
        <f t="shared" si="19"/>
        <v>0</v>
      </c>
      <c r="V37" s="4"/>
      <c r="W37" s="4"/>
      <c r="X37" s="4"/>
      <c r="Y37" s="4"/>
      <c r="Z37" s="4"/>
    </row>
    <row r="38">
      <c r="A38" s="15">
        <f t="shared" si="17"/>
        <v>46081</v>
      </c>
      <c r="B38" s="16" t="str">
        <f t="shared" si="12"/>
        <v>Sat</v>
      </c>
      <c r="C38" s="17"/>
      <c r="D38" s="18"/>
      <c r="E38" s="18"/>
      <c r="F38" s="18"/>
      <c r="G38" s="18" t="str">
        <f>IF(COUNTIF(Holidays!$A$2:$A$12,$A38)&gt;0, 8,"")</f>
        <v/>
      </c>
      <c r="H38" s="18"/>
      <c r="I38" s="18"/>
      <c r="J38" s="18"/>
      <c r="K38" s="18"/>
      <c r="L38" s="18"/>
      <c r="M38" s="16" t="str">
        <f t="shared" si="13"/>
        <v/>
      </c>
      <c r="N38" s="16" t="str">
        <f t="shared" si="14"/>
        <v/>
      </c>
      <c r="O38" s="4"/>
      <c r="P38" s="4"/>
      <c r="Q38" s="4"/>
      <c r="R38" s="21">
        <f>sum(R33:R37)</f>
        <v>41.75</v>
      </c>
      <c r="S38" s="4"/>
      <c r="T38" s="4"/>
      <c r="U38" s="4"/>
      <c r="V38" s="4"/>
      <c r="W38" s="4"/>
      <c r="X38" s="4"/>
      <c r="Y38" s="4"/>
      <c r="Z38" s="4"/>
    </row>
    <row r="39">
      <c r="A39" s="16"/>
      <c r="B39" s="16"/>
      <c r="C39" s="17"/>
      <c r="D39" s="18"/>
      <c r="E39" s="18"/>
      <c r="F39" s="18"/>
      <c r="G39" s="18" t="str">
        <f>IF(COUNTIF(Holidays!$A$2:$A$12,$A39)&gt;0, 8,"")</f>
        <v/>
      </c>
      <c r="H39" s="18"/>
      <c r="I39" s="18"/>
      <c r="J39" s="18"/>
      <c r="K39" s="18"/>
      <c r="L39" s="18"/>
      <c r="M39" s="16"/>
      <c r="N39" s="16"/>
      <c r="O39" s="4"/>
      <c r="P39" s="4"/>
      <c r="Q39" s="4"/>
      <c r="R39" s="4"/>
      <c r="S39" s="4"/>
      <c r="T39" s="4"/>
      <c r="U39" s="4"/>
      <c r="V39" s="4"/>
      <c r="W39" s="4"/>
      <c r="X39" s="4"/>
      <c r="Y39" s="4"/>
      <c r="Z39" s="4"/>
    </row>
    <row r="40">
      <c r="A40" s="16"/>
      <c r="B40" s="16"/>
      <c r="C40" s="17"/>
      <c r="D40" s="18"/>
      <c r="E40" s="18"/>
      <c r="F40" s="18"/>
      <c r="G40" s="18" t="str">
        <f>IF(COUNTIF(Holidays!$A$2:$A$12,$A40)&gt;0, 8,"")</f>
        <v/>
      </c>
      <c r="H40" s="18"/>
      <c r="I40" s="18"/>
      <c r="J40" s="18"/>
      <c r="K40" s="18"/>
      <c r="L40" s="18"/>
      <c r="M40" s="16"/>
      <c r="N40" s="16"/>
      <c r="O40" s="4"/>
      <c r="P40" s="4"/>
      <c r="Q40" s="4"/>
      <c r="R40" s="21">
        <f>R31+R38</f>
        <v>85.25</v>
      </c>
      <c r="S40" s="4"/>
      <c r="T40" s="4"/>
      <c r="U40" s="4"/>
      <c r="V40" s="4"/>
      <c r="W40" s="4"/>
      <c r="X40" s="4"/>
      <c r="Y40" s="4"/>
      <c r="Z40" s="4"/>
    </row>
    <row r="41">
      <c r="A41" s="16"/>
      <c r="B41" s="16"/>
      <c r="C41" s="18"/>
      <c r="D41" s="18"/>
      <c r="E41" s="18"/>
      <c r="F41" s="18"/>
      <c r="G41" s="18" t="str">
        <f>IF(COUNTIF(Holidays!$A$2:$A$12,$A41)&gt;0, 8,"")</f>
        <v/>
      </c>
      <c r="H41" s="18"/>
      <c r="I41" s="18"/>
      <c r="J41" s="18"/>
      <c r="K41" s="18"/>
      <c r="L41" s="18"/>
      <c r="M41" s="16"/>
      <c r="N41" s="16"/>
      <c r="O41" s="4"/>
      <c r="P41" s="4"/>
      <c r="Q41" s="4"/>
      <c r="R41" s="4"/>
      <c r="S41" s="4"/>
      <c r="T41" s="4"/>
      <c r="U41" s="4"/>
      <c r="V41" s="4"/>
      <c r="W41" s="4"/>
      <c r="X41" s="4"/>
      <c r="Y41" s="4"/>
      <c r="Z41" s="4"/>
    </row>
    <row r="42">
      <c r="A42" s="2" t="s">
        <v>47</v>
      </c>
      <c r="C42" s="14">
        <f t="shared" ref="C42:N42" si="20">sum(C26:C41)</f>
        <v>72</v>
      </c>
      <c r="D42" s="14">
        <f t="shared" si="20"/>
        <v>5.5</v>
      </c>
      <c r="E42" s="14">
        <f t="shared" si="20"/>
        <v>0</v>
      </c>
      <c r="F42" s="14">
        <f t="shared" si="20"/>
        <v>0</v>
      </c>
      <c r="G42" s="14">
        <f t="shared" si="20"/>
        <v>8</v>
      </c>
      <c r="H42" s="14">
        <f t="shared" si="20"/>
        <v>0</v>
      </c>
      <c r="I42" s="14">
        <f t="shared" si="20"/>
        <v>0</v>
      </c>
      <c r="J42" s="14">
        <f t="shared" si="20"/>
        <v>0</v>
      </c>
      <c r="K42" s="14">
        <f t="shared" si="20"/>
        <v>0</v>
      </c>
      <c r="L42" s="14">
        <f t="shared" si="20"/>
        <v>0</v>
      </c>
      <c r="M42" s="14">
        <f t="shared" si="20"/>
        <v>85.5</v>
      </c>
      <c r="N42" s="14">
        <f t="shared" si="20"/>
        <v>80</v>
      </c>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4">
    <mergeCell ref="M2:N2"/>
    <mergeCell ref="P2:Q2"/>
    <mergeCell ref="A22:B22"/>
    <mergeCell ref="A42:B42"/>
  </mergeCells>
  <conditionalFormatting sqref="C7:L21 C26:L41">
    <cfRule type="expression" dxfId="0" priority="1">
      <formula>OR($B7="Sat", $B7="Sun")</formula>
    </cfRule>
  </conditionalFormatting>
  <conditionalFormatting sqref="C7:L21 C26:L41">
    <cfRule type="notContainsBlanks" dxfId="1" priority="2">
      <formula>LEN(TRIM(C7))&gt;0</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 t="s">
        <v>68</v>
      </c>
      <c r="B1" s="32" t="s">
        <v>70</v>
      </c>
    </row>
    <row r="2">
      <c r="A2" s="33">
        <v>46023.0</v>
      </c>
      <c r="B2" s="32" t="s">
        <v>71</v>
      </c>
    </row>
    <row r="3">
      <c r="A3" s="33">
        <v>46041.0</v>
      </c>
      <c r="B3" s="32" t="s">
        <v>72</v>
      </c>
    </row>
    <row r="4">
      <c r="A4" s="33">
        <v>46069.0</v>
      </c>
      <c r="B4" s="32" t="s">
        <v>73</v>
      </c>
    </row>
    <row r="5">
      <c r="A5" s="33">
        <v>46167.0</v>
      </c>
      <c r="B5" s="32" t="s">
        <v>74</v>
      </c>
    </row>
    <row r="6">
      <c r="A6" s="33">
        <v>46192.0</v>
      </c>
      <c r="B6" s="32" t="s">
        <v>75</v>
      </c>
    </row>
    <row r="7">
      <c r="A7" s="33">
        <v>46206.0</v>
      </c>
      <c r="B7" s="32" t="s">
        <v>76</v>
      </c>
    </row>
    <row r="8">
      <c r="A8" s="33">
        <v>46272.0</v>
      </c>
      <c r="B8" s="32" t="s">
        <v>77</v>
      </c>
    </row>
    <row r="9">
      <c r="A9" s="33">
        <v>46307.0</v>
      </c>
      <c r="B9" s="32" t="s">
        <v>78</v>
      </c>
    </row>
    <row r="10">
      <c r="A10" s="33">
        <v>46337.0</v>
      </c>
      <c r="B10" s="32" t="s">
        <v>79</v>
      </c>
    </row>
    <row r="11">
      <c r="A11" s="33">
        <v>46352.0</v>
      </c>
      <c r="B11" s="32" t="s">
        <v>80</v>
      </c>
    </row>
    <row r="12">
      <c r="A12" s="33">
        <v>46381.0</v>
      </c>
      <c r="B12" s="32" t="s">
        <v>81</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4" t="s">
        <v>82</v>
      </c>
    </row>
    <row r="2">
      <c r="A2" s="1" t="s">
        <v>83</v>
      </c>
    </row>
    <row r="3">
      <c r="A3" s="1" t="s">
        <v>31</v>
      </c>
    </row>
    <row r="4">
      <c r="A4" s="1" t="s">
        <v>32</v>
      </c>
    </row>
    <row r="5">
      <c r="A5" s="1" t="s">
        <v>12</v>
      </c>
    </row>
    <row r="6">
      <c r="A6" s="1" t="s">
        <v>33</v>
      </c>
      <c r="H6" s="35"/>
    </row>
    <row r="7">
      <c r="A7" s="1" t="s">
        <v>34</v>
      </c>
    </row>
    <row r="8">
      <c r="A8" s="1" t="s">
        <v>14</v>
      </c>
    </row>
    <row r="9">
      <c r="A9" s="1" t="s">
        <v>16</v>
      </c>
    </row>
    <row r="10">
      <c r="A10" s="1" t="s">
        <v>35</v>
      </c>
    </row>
    <row r="11">
      <c r="A11" s="1" t="s">
        <v>36</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13" max="13" width="7.25"/>
    <col customWidth="1" min="14" max="14" width="8.25"/>
    <col customWidth="1" min="15" max="15" width="9.63"/>
    <col customWidth="1" min="18" max="18" width="12.63"/>
  </cols>
  <sheetData>
    <row r="1">
      <c r="A1" s="2" t="s">
        <v>84</v>
      </c>
      <c r="B1" s="2" t="s">
        <v>4</v>
      </c>
      <c r="C1" s="2" t="s">
        <v>6</v>
      </c>
      <c r="D1" s="2" t="s">
        <v>7</v>
      </c>
      <c r="E1" s="2" t="s">
        <v>9</v>
      </c>
      <c r="F1" s="4"/>
      <c r="I1" s="4"/>
      <c r="J1" s="4"/>
      <c r="K1" s="4"/>
      <c r="L1" s="4"/>
      <c r="M1" s="4"/>
      <c r="N1" s="4"/>
      <c r="O1" s="4"/>
      <c r="P1" s="4"/>
      <c r="Q1" s="4"/>
      <c r="R1" s="4"/>
      <c r="S1" s="4"/>
      <c r="T1" s="4"/>
      <c r="U1" s="4"/>
      <c r="V1" s="4"/>
      <c r="W1" s="4"/>
      <c r="X1" s="4"/>
      <c r="Y1" s="4"/>
      <c r="Z1" s="4"/>
    </row>
    <row r="2">
      <c r="A2" s="8" t="s">
        <v>13</v>
      </c>
      <c r="B2" s="12">
        <f>'START HERE'!B9</f>
        <v>71.5</v>
      </c>
      <c r="C2" s="12">
        <f>'START HERE'!B10</f>
        <v>0</v>
      </c>
      <c r="D2" s="12">
        <f>'START HERE'!E9</f>
        <v>8</v>
      </c>
      <c r="E2" s="12">
        <f>'START HERE'!E10</f>
        <v>40</v>
      </c>
      <c r="F2" s="4"/>
      <c r="G2" s="2" t="s">
        <v>8</v>
      </c>
      <c r="H2" s="12">
        <f>'START HERE'!B6</f>
        <v>5</v>
      </c>
      <c r="I2" s="4"/>
      <c r="J2" s="4"/>
      <c r="K2" s="4"/>
      <c r="L2" s="4"/>
      <c r="M2" s="13"/>
      <c r="N2" s="13"/>
      <c r="O2" s="4"/>
      <c r="P2" s="13"/>
      <c r="Q2" s="13"/>
      <c r="R2" s="4"/>
      <c r="S2" s="4"/>
      <c r="T2" s="4"/>
      <c r="U2" s="4"/>
      <c r="V2" s="4"/>
      <c r="W2" s="4"/>
      <c r="X2" s="4"/>
      <c r="Y2" s="4"/>
      <c r="Z2" s="4"/>
    </row>
    <row r="3">
      <c r="A3" s="8" t="s">
        <v>23</v>
      </c>
      <c r="B3" s="12">
        <f>B2+H2-F22</f>
        <v>73.5</v>
      </c>
      <c r="C3" s="12">
        <f>C2+D22-E22</f>
        <v>0</v>
      </c>
      <c r="D3" s="12">
        <f t="shared" ref="D3:E3" si="1">D2-I22</f>
        <v>8</v>
      </c>
      <c r="E3" s="12">
        <f t="shared" si="1"/>
        <v>40</v>
      </c>
      <c r="F3" s="4"/>
      <c r="G3" s="4"/>
      <c r="H3" s="4"/>
      <c r="I3" s="4"/>
      <c r="J3" s="4"/>
      <c r="K3" s="4"/>
      <c r="L3" s="4"/>
      <c r="M3" s="4"/>
      <c r="N3" s="4"/>
      <c r="O3" s="4"/>
      <c r="P3" s="4"/>
      <c r="Q3" s="4"/>
      <c r="R3" s="4"/>
      <c r="S3" s="4"/>
      <c r="T3" s="4"/>
      <c r="U3" s="4"/>
      <c r="V3" s="4"/>
      <c r="W3" s="4"/>
      <c r="X3" s="4"/>
      <c r="Y3" s="4"/>
      <c r="Z3" s="4"/>
    </row>
    <row r="4">
      <c r="A4" s="8" t="s">
        <v>25</v>
      </c>
      <c r="B4" s="12">
        <f>B3+H2-F42</f>
        <v>72.5</v>
      </c>
      <c r="C4" s="12">
        <f>C3+D42-E42</f>
        <v>0</v>
      </c>
      <c r="D4" s="12">
        <f t="shared" ref="D4:E4" si="2">D3-I42</f>
        <v>8</v>
      </c>
      <c r="E4" s="12">
        <f t="shared" si="2"/>
        <v>40</v>
      </c>
      <c r="F4" s="4"/>
      <c r="G4" s="4"/>
      <c r="H4" s="4"/>
      <c r="I4" s="4"/>
      <c r="J4" s="4"/>
      <c r="K4" s="4"/>
      <c r="L4" s="4"/>
      <c r="M4" s="4"/>
      <c r="N4" s="4"/>
      <c r="O4" s="4"/>
      <c r="P4" s="4"/>
      <c r="Q4" s="4"/>
      <c r="R4" s="4"/>
      <c r="S4" s="4"/>
      <c r="T4" s="4"/>
      <c r="U4" s="4"/>
      <c r="V4" s="4"/>
      <c r="W4" s="4"/>
      <c r="X4" s="4"/>
      <c r="Y4" s="4"/>
      <c r="Z4" s="4"/>
    </row>
    <row r="5">
      <c r="A5" s="4"/>
      <c r="B5" s="4"/>
      <c r="C5" s="4"/>
      <c r="D5" s="4"/>
      <c r="E5" s="4"/>
      <c r="F5" s="4"/>
      <c r="G5" s="4"/>
      <c r="H5" s="4"/>
      <c r="I5" s="4"/>
      <c r="J5" s="4"/>
      <c r="K5" s="4"/>
      <c r="L5" s="4"/>
      <c r="O5" s="4"/>
      <c r="P5" s="4"/>
      <c r="Q5" s="4"/>
      <c r="R5" s="4"/>
      <c r="S5" s="4"/>
      <c r="T5" s="4"/>
      <c r="U5" s="4"/>
      <c r="V5" s="4"/>
      <c r="W5" s="4"/>
      <c r="X5" s="4"/>
      <c r="Y5" s="4"/>
      <c r="Z5" s="4"/>
    </row>
    <row r="6">
      <c r="A6" s="2" t="s">
        <v>29</v>
      </c>
      <c r="B6" s="2" t="s">
        <v>30</v>
      </c>
      <c r="C6" s="14" t="str">
        <f t="array" ref="C6:L6">TRANSPOSE('Time Types'!A2:A11)</f>
        <v>Regular</v>
      </c>
      <c r="D6" s="14" t="s">
        <v>31</v>
      </c>
      <c r="E6" s="14" t="s">
        <v>32</v>
      </c>
      <c r="F6" s="14" t="s">
        <v>12</v>
      </c>
      <c r="G6" s="14" t="s">
        <v>33</v>
      </c>
      <c r="H6" s="14" t="s">
        <v>34</v>
      </c>
      <c r="I6" s="14" t="s">
        <v>14</v>
      </c>
      <c r="J6" s="14" t="s">
        <v>16</v>
      </c>
      <c r="K6" s="14" t="s">
        <v>35</v>
      </c>
      <c r="L6" s="14" t="s">
        <v>36</v>
      </c>
      <c r="M6" s="2" t="s">
        <v>85</v>
      </c>
      <c r="N6" s="2" t="s">
        <v>86</v>
      </c>
      <c r="O6" s="2" t="s">
        <v>41</v>
      </c>
      <c r="P6" s="2" t="s">
        <v>37</v>
      </c>
      <c r="Q6" s="2" t="s">
        <v>38</v>
      </c>
      <c r="R6" s="4"/>
      <c r="S6" s="4"/>
      <c r="T6" s="4"/>
      <c r="U6" s="4"/>
      <c r="V6" s="4"/>
      <c r="W6" s="4"/>
      <c r="X6" s="4"/>
      <c r="Y6" s="4"/>
      <c r="Z6" s="4"/>
    </row>
    <row r="7">
      <c r="A7" s="15">
        <f>DATE(2026, MONTH(DATEVALUE($A$1 &amp; " 1")), 1)</f>
        <v>46023</v>
      </c>
      <c r="B7" s="16" t="str">
        <f t="shared" ref="B7:B21" si="3">text(A7,"ddd")</f>
        <v>Thu</v>
      </c>
      <c r="C7" s="18"/>
      <c r="D7" s="18"/>
      <c r="E7" s="18"/>
      <c r="F7" s="18"/>
      <c r="G7" s="18">
        <f>IF(COUNTIF(Holidays!$A$2:$A$12,$A7)&gt;0, 8,"")</f>
        <v>8</v>
      </c>
      <c r="H7" s="18"/>
      <c r="I7" s="18"/>
      <c r="J7" s="18"/>
      <c r="K7" s="18"/>
      <c r="L7" s="18"/>
      <c r="M7" s="36">
        <v>0.3333333333333333</v>
      </c>
      <c r="N7" s="36">
        <v>0.6666666666666666</v>
      </c>
      <c r="O7" s="37">
        <f t="shared" ref="O7:O8" si="4">N7-M7</f>
        <v>0.3333333333</v>
      </c>
      <c r="P7" s="16">
        <f t="shared" ref="P7:P8" si="5">IF(OR(B7="Sat", B7="Sun"), "", sum(C7:J7))</f>
        <v>8</v>
      </c>
      <c r="Q7" s="16">
        <f t="shared" ref="Q7:Q21" si="6">IF(OR(B7="Sat", B7="Sun"), "", 8)</f>
        <v>8</v>
      </c>
      <c r="R7" s="4"/>
      <c r="S7" s="4"/>
      <c r="T7" s="4"/>
      <c r="U7" s="4"/>
      <c r="V7" s="4"/>
      <c r="W7" s="4"/>
      <c r="X7" s="4"/>
      <c r="Y7" s="4"/>
      <c r="Z7" s="4"/>
    </row>
    <row r="8">
      <c r="A8" s="15">
        <f t="shared" ref="A8:A21" si="7">A7+1</f>
        <v>46024</v>
      </c>
      <c r="B8" s="16" t="str">
        <f t="shared" si="3"/>
        <v>Fri</v>
      </c>
      <c r="C8" s="17">
        <v>8.0</v>
      </c>
      <c r="D8" s="17"/>
      <c r="E8" s="18"/>
      <c r="F8" s="18"/>
      <c r="G8" s="18" t="str">
        <f>IF(COUNTIF(Holidays!$A$2:$A$12,$A8)&gt;0, 8,"")</f>
        <v/>
      </c>
      <c r="H8" s="18"/>
      <c r="I8" s="18"/>
      <c r="J8" s="18"/>
      <c r="K8" s="18"/>
      <c r="L8" s="18"/>
      <c r="M8" s="36">
        <v>0.2916666666666667</v>
      </c>
      <c r="N8" s="36">
        <v>0.625</v>
      </c>
      <c r="O8" s="37">
        <f t="shared" si="4"/>
        <v>0.3333333333</v>
      </c>
      <c r="P8" s="16">
        <f t="shared" si="5"/>
        <v>8</v>
      </c>
      <c r="Q8" s="16">
        <f t="shared" si="6"/>
        <v>8</v>
      </c>
      <c r="R8" s="4"/>
      <c r="S8" s="4"/>
      <c r="T8" s="4"/>
      <c r="U8" s="4"/>
      <c r="V8" s="4"/>
      <c r="W8" s="4"/>
      <c r="X8" s="4"/>
      <c r="Y8" s="4"/>
      <c r="Z8" s="4"/>
    </row>
    <row r="9">
      <c r="A9" s="15">
        <f t="shared" si="7"/>
        <v>46025</v>
      </c>
      <c r="B9" s="16" t="str">
        <f t="shared" si="3"/>
        <v>Sat</v>
      </c>
      <c r="C9" s="18"/>
      <c r="D9" s="18"/>
      <c r="E9" s="18"/>
      <c r="F9" s="18"/>
      <c r="G9" s="18" t="str">
        <f>IF(COUNTIF(Holidays!$A$2:$A$12,$A9)&gt;0, 8,"")</f>
        <v/>
      </c>
      <c r="H9" s="18"/>
      <c r="I9" s="18"/>
      <c r="J9" s="18"/>
      <c r="K9" s="18"/>
      <c r="L9" s="18"/>
      <c r="M9" s="18"/>
      <c r="N9" s="18"/>
      <c r="O9" s="38"/>
      <c r="P9" s="18"/>
      <c r="Q9" s="16" t="str">
        <f t="shared" si="6"/>
        <v/>
      </c>
      <c r="R9" s="4"/>
      <c r="S9" s="4"/>
      <c r="T9" s="4"/>
      <c r="U9" s="4"/>
      <c r="V9" s="4"/>
      <c r="W9" s="4"/>
      <c r="X9" s="4"/>
      <c r="Y9" s="4"/>
      <c r="Z9" s="4"/>
    </row>
    <row r="10">
      <c r="A10" s="15">
        <f t="shared" si="7"/>
        <v>46026</v>
      </c>
      <c r="B10" s="16" t="str">
        <f t="shared" si="3"/>
        <v>Sun</v>
      </c>
      <c r="C10" s="18"/>
      <c r="D10" s="18"/>
      <c r="E10" s="18"/>
      <c r="F10" s="18"/>
      <c r="G10" s="18" t="str">
        <f>IF(COUNTIF(Holidays!$A$2:$A$12,$A10)&gt;0, 8,"")</f>
        <v/>
      </c>
      <c r="H10" s="18"/>
      <c r="I10" s="18"/>
      <c r="J10" s="18"/>
      <c r="K10" s="18"/>
      <c r="L10" s="18"/>
      <c r="M10" s="18"/>
      <c r="N10" s="18"/>
      <c r="O10" s="38"/>
      <c r="P10" s="18"/>
      <c r="Q10" s="16" t="str">
        <f t="shared" si="6"/>
        <v/>
      </c>
      <c r="R10" s="4"/>
      <c r="S10" s="4"/>
      <c r="T10" s="4"/>
      <c r="U10" s="4"/>
      <c r="V10" s="4"/>
      <c r="W10" s="4"/>
      <c r="X10" s="4"/>
      <c r="Y10" s="4"/>
      <c r="Z10" s="4"/>
    </row>
    <row r="11">
      <c r="A11" s="15">
        <f t="shared" si="7"/>
        <v>46027</v>
      </c>
      <c r="B11" s="16" t="str">
        <f t="shared" si="3"/>
        <v>Mon</v>
      </c>
      <c r="C11" s="17">
        <v>9.25</v>
      </c>
      <c r="D11" s="17"/>
      <c r="E11" s="18"/>
      <c r="F11" s="18"/>
      <c r="G11" s="18" t="str">
        <f>IF(COUNTIF(Holidays!$A$2:$A$12,$A11)&gt;0, 8,"")</f>
        <v/>
      </c>
      <c r="H11" s="18"/>
      <c r="I11" s="17"/>
      <c r="J11" s="18"/>
      <c r="K11" s="18"/>
      <c r="L11" s="18"/>
      <c r="M11" s="36">
        <v>0.3229166666666667</v>
      </c>
      <c r="N11" s="36">
        <v>0.7083333333333334</v>
      </c>
      <c r="O11" s="37">
        <f t="shared" ref="O11:O15" si="8">N11-M11</f>
        <v>0.3854166667</v>
      </c>
      <c r="P11" s="16">
        <f t="shared" ref="P11:P15" si="9">IF(OR(B11="Sat", B11="Sun"), "", sum(C11:J11))</f>
        <v>9.25</v>
      </c>
      <c r="Q11" s="16">
        <f t="shared" si="6"/>
        <v>8</v>
      </c>
      <c r="R11" s="4"/>
      <c r="S11" s="4"/>
      <c r="T11" s="13"/>
      <c r="U11" s="4"/>
      <c r="V11" s="4"/>
      <c r="W11" s="4"/>
      <c r="X11" s="4"/>
      <c r="Y11" s="4"/>
      <c r="Z11" s="4"/>
    </row>
    <row r="12">
      <c r="A12" s="15">
        <f t="shared" si="7"/>
        <v>46028</v>
      </c>
      <c r="B12" s="16" t="str">
        <f t="shared" si="3"/>
        <v>Tue</v>
      </c>
      <c r="C12" s="17">
        <v>9.5</v>
      </c>
      <c r="D12" s="17"/>
      <c r="E12" s="18"/>
      <c r="F12" s="18"/>
      <c r="G12" s="18" t="str">
        <f>IF(COUNTIF(Holidays!$A$2:$A$12,$A12)&gt;0, 8,"")</f>
        <v/>
      </c>
      <c r="H12" s="18"/>
      <c r="I12" s="18"/>
      <c r="J12" s="18"/>
      <c r="K12" s="18"/>
      <c r="L12" s="18"/>
      <c r="M12" s="36">
        <v>0.3229166666666667</v>
      </c>
      <c r="N12" s="36">
        <v>0.71875</v>
      </c>
      <c r="O12" s="37">
        <f t="shared" si="8"/>
        <v>0.3958333333</v>
      </c>
      <c r="P12" s="16">
        <f t="shared" si="9"/>
        <v>9.5</v>
      </c>
      <c r="Q12" s="16">
        <f t="shared" si="6"/>
        <v>8</v>
      </c>
      <c r="R12" s="4"/>
      <c r="S12" s="4"/>
      <c r="T12" s="13"/>
      <c r="U12" s="13"/>
      <c r="V12" s="4"/>
      <c r="W12" s="4"/>
      <c r="X12" s="4"/>
      <c r="Y12" s="4"/>
      <c r="Z12" s="4"/>
    </row>
    <row r="13">
      <c r="A13" s="15">
        <f t="shared" si="7"/>
        <v>46029</v>
      </c>
      <c r="B13" s="16" t="str">
        <f t="shared" si="3"/>
        <v>Wed</v>
      </c>
      <c r="C13" s="17">
        <v>8.5</v>
      </c>
      <c r="D13" s="17"/>
      <c r="E13" s="18"/>
      <c r="F13" s="18"/>
      <c r="G13" s="18" t="str">
        <f>IF(COUNTIF(Holidays!$A$2:$A$12,$A13)&gt;0, 8,"")</f>
        <v/>
      </c>
      <c r="H13" s="18"/>
      <c r="I13" s="18"/>
      <c r="J13" s="18"/>
      <c r="K13" s="18"/>
      <c r="L13" s="18"/>
      <c r="M13" s="36">
        <v>0.34375</v>
      </c>
      <c r="N13" s="36">
        <v>0.6979166666666666</v>
      </c>
      <c r="O13" s="37">
        <f t="shared" si="8"/>
        <v>0.3541666667</v>
      </c>
      <c r="P13" s="16">
        <f t="shared" si="9"/>
        <v>8.5</v>
      </c>
      <c r="Q13" s="16">
        <f t="shared" si="6"/>
        <v>8</v>
      </c>
      <c r="R13" s="4"/>
      <c r="S13" s="4"/>
      <c r="T13" s="4"/>
      <c r="U13" s="4"/>
      <c r="V13" s="4"/>
      <c r="W13" s="4"/>
      <c r="X13" s="4"/>
      <c r="Y13" s="4"/>
      <c r="Z13" s="4"/>
    </row>
    <row r="14">
      <c r="A14" s="15">
        <f t="shared" si="7"/>
        <v>46030</v>
      </c>
      <c r="B14" s="16" t="str">
        <f t="shared" si="3"/>
        <v>Thu</v>
      </c>
      <c r="C14" s="17">
        <v>8.0</v>
      </c>
      <c r="D14" s="17"/>
      <c r="E14" s="18"/>
      <c r="F14" s="18"/>
      <c r="G14" s="18" t="str">
        <f>IF(COUNTIF(Holidays!$A$2:$A$12,$A14)&gt;0, 8,"")</f>
        <v/>
      </c>
      <c r="H14" s="18"/>
      <c r="I14" s="18"/>
      <c r="J14" s="18"/>
      <c r="K14" s="18"/>
      <c r="L14" s="18"/>
      <c r="M14" s="36">
        <v>0.3854166666666667</v>
      </c>
      <c r="N14" s="36">
        <v>0.71875</v>
      </c>
      <c r="O14" s="37">
        <f t="shared" si="8"/>
        <v>0.3333333333</v>
      </c>
      <c r="P14" s="16">
        <f t="shared" si="9"/>
        <v>8</v>
      </c>
      <c r="Q14" s="16">
        <f t="shared" si="6"/>
        <v>8</v>
      </c>
      <c r="R14" s="4"/>
      <c r="S14" s="4"/>
      <c r="T14" s="4"/>
      <c r="U14" s="4"/>
      <c r="V14" s="4"/>
      <c r="W14" s="4"/>
      <c r="X14" s="4"/>
      <c r="Y14" s="4"/>
      <c r="Z14" s="4"/>
    </row>
    <row r="15">
      <c r="A15" s="15">
        <f t="shared" si="7"/>
        <v>46031</v>
      </c>
      <c r="B15" s="16" t="str">
        <f t="shared" si="3"/>
        <v>Fri</v>
      </c>
      <c r="C15" s="17">
        <v>8.0</v>
      </c>
      <c r="D15" s="17"/>
      <c r="E15" s="18"/>
      <c r="F15" s="18"/>
      <c r="G15" s="18" t="str">
        <f>IF(COUNTIF(Holidays!$A$2:$A$12,$A15)&gt;0, 8,"")</f>
        <v/>
      </c>
      <c r="H15" s="18"/>
      <c r="I15" s="18"/>
      <c r="J15" s="18"/>
      <c r="K15" s="18"/>
      <c r="L15" s="18"/>
      <c r="M15" s="36">
        <v>0.3541666666666667</v>
      </c>
      <c r="N15" s="36">
        <v>0.6875</v>
      </c>
      <c r="O15" s="37">
        <f t="shared" si="8"/>
        <v>0.3333333333</v>
      </c>
      <c r="P15" s="16">
        <f t="shared" si="9"/>
        <v>8</v>
      </c>
      <c r="Q15" s="16">
        <f t="shared" si="6"/>
        <v>8</v>
      </c>
      <c r="R15" s="4"/>
      <c r="S15" s="4"/>
      <c r="T15" s="4"/>
      <c r="U15" s="4"/>
      <c r="V15" s="4"/>
      <c r="W15" s="4"/>
      <c r="X15" s="4"/>
      <c r="Y15" s="4"/>
      <c r="Z15" s="4"/>
    </row>
    <row r="16">
      <c r="A16" s="15">
        <f t="shared" si="7"/>
        <v>46032</v>
      </c>
      <c r="B16" s="16" t="str">
        <f t="shared" si="3"/>
        <v>Sat</v>
      </c>
      <c r="C16" s="17"/>
      <c r="D16" s="18"/>
      <c r="E16" s="18"/>
      <c r="F16" s="18"/>
      <c r="G16" s="18" t="str">
        <f>IF(COUNTIF(Holidays!$A$2:$A$12,$A16)&gt;0, 8,"")</f>
        <v/>
      </c>
      <c r="H16" s="18"/>
      <c r="I16" s="18"/>
      <c r="J16" s="18"/>
      <c r="K16" s="18"/>
      <c r="L16" s="18"/>
      <c r="M16" s="18"/>
      <c r="N16" s="18"/>
      <c r="O16" s="38"/>
      <c r="P16" s="18"/>
      <c r="Q16" s="16" t="str">
        <f t="shared" si="6"/>
        <v/>
      </c>
      <c r="R16" s="4"/>
      <c r="S16" s="4"/>
      <c r="T16" s="4"/>
      <c r="U16" s="4"/>
      <c r="V16" s="4"/>
      <c r="W16" s="4"/>
      <c r="X16" s="4"/>
      <c r="Y16" s="4"/>
      <c r="Z16" s="4"/>
    </row>
    <row r="17">
      <c r="A17" s="15">
        <f t="shared" si="7"/>
        <v>46033</v>
      </c>
      <c r="B17" s="16" t="str">
        <f t="shared" si="3"/>
        <v>Sun</v>
      </c>
      <c r="C17" s="17"/>
      <c r="D17" s="18"/>
      <c r="E17" s="18"/>
      <c r="F17" s="18"/>
      <c r="G17" s="18" t="str">
        <f>IF(COUNTIF(Holidays!$A$2:$A$12,$A17)&gt;0, 8,"")</f>
        <v/>
      </c>
      <c r="H17" s="18"/>
      <c r="I17" s="18"/>
      <c r="J17" s="18"/>
      <c r="K17" s="18"/>
      <c r="L17" s="18"/>
      <c r="M17" s="18"/>
      <c r="N17" s="18"/>
      <c r="O17" s="38"/>
      <c r="P17" s="18"/>
      <c r="Q17" s="16" t="str">
        <f t="shared" si="6"/>
        <v/>
      </c>
      <c r="R17" s="4"/>
      <c r="S17" s="4"/>
      <c r="T17" s="4"/>
      <c r="U17" s="4"/>
      <c r="V17" s="4"/>
      <c r="W17" s="4"/>
      <c r="X17" s="4"/>
      <c r="Y17" s="4"/>
      <c r="Z17" s="4"/>
    </row>
    <row r="18">
      <c r="A18" s="15">
        <f t="shared" si="7"/>
        <v>46034</v>
      </c>
      <c r="B18" s="16" t="str">
        <f t="shared" si="3"/>
        <v>Mon</v>
      </c>
      <c r="C18" s="17">
        <v>9.25</v>
      </c>
      <c r="D18" s="17"/>
      <c r="E18" s="18"/>
      <c r="F18" s="18"/>
      <c r="G18" s="18" t="str">
        <f>IF(COUNTIF(Holidays!$A$2:$A$12,$A18)&gt;0, 8,"")</f>
        <v/>
      </c>
      <c r="H18" s="18"/>
      <c r="I18" s="18"/>
      <c r="J18" s="18"/>
      <c r="K18" s="18"/>
      <c r="L18" s="18"/>
      <c r="M18" s="36">
        <v>0.3020833333333333</v>
      </c>
      <c r="N18" s="36">
        <v>0.6875</v>
      </c>
      <c r="O18" s="37">
        <f t="shared" ref="O18:O20" si="10">N18-M18</f>
        <v>0.3854166667</v>
      </c>
      <c r="P18" s="16">
        <f t="shared" ref="P18:P21" si="11">IF(OR(B18="Sat", B18="Sun"), "", sum(C18:J18))</f>
        <v>9.25</v>
      </c>
      <c r="Q18" s="16">
        <f t="shared" si="6"/>
        <v>8</v>
      </c>
      <c r="R18" s="4"/>
      <c r="S18" s="4"/>
      <c r="T18" s="4"/>
      <c r="U18" s="4"/>
      <c r="V18" s="4"/>
      <c r="W18" s="4"/>
      <c r="X18" s="4"/>
      <c r="Y18" s="4"/>
      <c r="Z18" s="4"/>
    </row>
    <row r="19">
      <c r="A19" s="15">
        <f t="shared" si="7"/>
        <v>46035</v>
      </c>
      <c r="B19" s="16" t="str">
        <f t="shared" si="3"/>
        <v>Tue</v>
      </c>
      <c r="C19" s="17">
        <v>9.0</v>
      </c>
      <c r="D19" s="17"/>
      <c r="E19" s="18"/>
      <c r="F19" s="18"/>
      <c r="G19" s="18" t="str">
        <f>IF(COUNTIF(Holidays!$A$2:$A$12,$A19)&gt;0, 8,"")</f>
        <v/>
      </c>
      <c r="H19" s="18"/>
      <c r="I19" s="18"/>
      <c r="J19" s="18"/>
      <c r="K19" s="18"/>
      <c r="L19" s="18"/>
      <c r="M19" s="36">
        <v>0.34375</v>
      </c>
      <c r="N19" s="36">
        <v>0.71875</v>
      </c>
      <c r="O19" s="37">
        <f t="shared" si="10"/>
        <v>0.375</v>
      </c>
      <c r="P19" s="16">
        <f t="shared" si="11"/>
        <v>9</v>
      </c>
      <c r="Q19" s="16">
        <f t="shared" si="6"/>
        <v>8</v>
      </c>
      <c r="R19" s="4"/>
      <c r="S19" s="4"/>
      <c r="T19" s="4"/>
      <c r="U19" s="4"/>
      <c r="V19" s="4"/>
      <c r="W19" s="4"/>
      <c r="X19" s="4"/>
      <c r="Y19" s="4"/>
      <c r="Z19" s="4"/>
    </row>
    <row r="20">
      <c r="A20" s="15">
        <f t="shared" si="7"/>
        <v>46036</v>
      </c>
      <c r="B20" s="16" t="str">
        <f t="shared" si="3"/>
        <v>Wed</v>
      </c>
      <c r="C20" s="17">
        <v>7.5</v>
      </c>
      <c r="D20" s="17"/>
      <c r="E20" s="18"/>
      <c r="F20" s="18"/>
      <c r="G20" s="18" t="str">
        <f>IF(COUNTIF(Holidays!$A$2:$A$12,$A20)&gt;0, 8,"")</f>
        <v/>
      </c>
      <c r="H20" s="18"/>
      <c r="I20" s="18"/>
      <c r="J20" s="18"/>
      <c r="K20" s="18"/>
      <c r="L20" s="18"/>
      <c r="M20" s="36">
        <v>0.3125</v>
      </c>
      <c r="N20" s="36">
        <v>0.625</v>
      </c>
      <c r="O20" s="37">
        <f t="shared" si="10"/>
        <v>0.3125</v>
      </c>
      <c r="P20" s="16">
        <f t="shared" si="11"/>
        <v>7.5</v>
      </c>
      <c r="Q20" s="16">
        <f t="shared" si="6"/>
        <v>8</v>
      </c>
      <c r="R20" s="4"/>
      <c r="S20" s="4"/>
      <c r="T20" s="4"/>
      <c r="U20" s="4"/>
      <c r="V20" s="4"/>
      <c r="W20" s="4"/>
      <c r="X20" s="4"/>
      <c r="Y20" s="4"/>
      <c r="Z20" s="4"/>
    </row>
    <row r="21">
      <c r="A21" s="15">
        <f t="shared" si="7"/>
        <v>46037</v>
      </c>
      <c r="B21" s="16" t="str">
        <f t="shared" si="3"/>
        <v>Thu</v>
      </c>
      <c r="C21" s="17"/>
      <c r="D21" s="18"/>
      <c r="E21" s="18"/>
      <c r="F21" s="17">
        <v>3.0</v>
      </c>
      <c r="G21" s="18" t="str">
        <f>IF(COUNTIF(Holidays!$A$2:$A$12,$A21)&gt;0, 8,"")</f>
        <v/>
      </c>
      <c r="H21" s="18"/>
      <c r="I21" s="18"/>
      <c r="J21" s="18"/>
      <c r="K21" s="18"/>
      <c r="L21" s="18"/>
      <c r="M21" s="36"/>
      <c r="N21" s="36"/>
      <c r="O21" s="37"/>
      <c r="P21" s="16">
        <f t="shared" si="11"/>
        <v>3</v>
      </c>
      <c r="Q21" s="16">
        <f t="shared" si="6"/>
        <v>8</v>
      </c>
      <c r="R21" s="4"/>
      <c r="S21" s="4"/>
      <c r="T21" s="4"/>
      <c r="U21" s="4"/>
      <c r="V21" s="4"/>
      <c r="W21" s="4"/>
      <c r="X21" s="4"/>
      <c r="Y21" s="4"/>
      <c r="Z21" s="4"/>
    </row>
    <row r="22">
      <c r="A22" s="2" t="s">
        <v>47</v>
      </c>
      <c r="C22" s="14">
        <f t="shared" ref="C22:L22" si="12">sum(C7:C21)</f>
        <v>77</v>
      </c>
      <c r="D22" s="14">
        <f t="shared" si="12"/>
        <v>0</v>
      </c>
      <c r="E22" s="14">
        <f t="shared" si="12"/>
        <v>0</v>
      </c>
      <c r="F22" s="14">
        <f t="shared" si="12"/>
        <v>3</v>
      </c>
      <c r="G22" s="14">
        <f t="shared" si="12"/>
        <v>8</v>
      </c>
      <c r="H22" s="14">
        <f t="shared" si="12"/>
        <v>0</v>
      </c>
      <c r="I22" s="14">
        <f t="shared" si="12"/>
        <v>0</v>
      </c>
      <c r="J22" s="14">
        <f t="shared" si="12"/>
        <v>0</v>
      </c>
      <c r="K22" s="14">
        <f t="shared" si="12"/>
        <v>0</v>
      </c>
      <c r="L22" s="14">
        <f t="shared" si="12"/>
        <v>0</v>
      </c>
      <c r="M22" s="39">
        <f t="shared" ref="M22:N22" si="13">AVERAGE(M7:M21)</f>
        <v>0.33125</v>
      </c>
      <c r="N22" s="39">
        <f t="shared" si="13"/>
        <v>0.6854166667</v>
      </c>
      <c r="O22" s="40"/>
      <c r="P22" s="14">
        <f t="shared" ref="P22:Q22" si="14">sum(P7:P21)</f>
        <v>88</v>
      </c>
      <c r="Q22" s="14">
        <f t="shared" si="14"/>
        <v>88</v>
      </c>
      <c r="R22" s="4"/>
      <c r="S22" s="4"/>
      <c r="T22" s="4"/>
      <c r="U22" s="4"/>
      <c r="V22" s="4"/>
      <c r="W22" s="4"/>
      <c r="X22" s="4"/>
      <c r="Y22" s="4"/>
      <c r="Z22" s="4"/>
    </row>
    <row r="23">
      <c r="A23" s="4"/>
      <c r="B23" s="4"/>
      <c r="C23" s="4"/>
      <c r="D23" s="4"/>
      <c r="E23" s="4"/>
      <c r="F23" s="4"/>
      <c r="G23" s="4"/>
      <c r="H23" s="4"/>
      <c r="I23" s="4"/>
      <c r="J23" s="4"/>
      <c r="K23" s="4"/>
      <c r="L23" s="4"/>
      <c r="M23" s="4"/>
      <c r="N23" s="4"/>
      <c r="O23" s="41"/>
      <c r="P23" s="4"/>
      <c r="Q23" s="4"/>
      <c r="R23" s="4"/>
      <c r="S23" s="4"/>
      <c r="T23" s="4"/>
      <c r="U23" s="4"/>
      <c r="V23" s="4"/>
      <c r="W23" s="4"/>
      <c r="X23" s="4"/>
      <c r="Y23" s="4"/>
      <c r="Z23" s="4"/>
    </row>
    <row r="24">
      <c r="A24" s="4"/>
      <c r="B24" s="4"/>
      <c r="C24" s="4"/>
      <c r="D24" s="4"/>
      <c r="E24" s="4"/>
      <c r="F24" s="4"/>
      <c r="G24" s="4"/>
      <c r="H24" s="4"/>
      <c r="I24" s="4"/>
      <c r="J24" s="4"/>
      <c r="K24" s="4"/>
      <c r="L24" s="4"/>
      <c r="M24" s="4"/>
      <c r="N24" s="4"/>
      <c r="O24" s="41"/>
      <c r="P24" s="4"/>
      <c r="Q24" s="4"/>
      <c r="R24" s="4"/>
      <c r="S24" s="4"/>
      <c r="T24" s="4"/>
      <c r="U24" s="4"/>
      <c r="V24" s="4"/>
      <c r="W24" s="4"/>
      <c r="X24" s="4"/>
      <c r="Y24" s="4"/>
      <c r="Z24" s="4"/>
    </row>
    <row r="25">
      <c r="A25" s="2" t="s">
        <v>49</v>
      </c>
      <c r="B25" s="2" t="s">
        <v>30</v>
      </c>
      <c r="C25" s="14" t="str">
        <f t="array" ref="C25:L25">transpose('Time Types'!A2:A11)</f>
        <v>Regular</v>
      </c>
      <c r="D25" s="14" t="s">
        <v>31</v>
      </c>
      <c r="E25" s="14" t="s">
        <v>32</v>
      </c>
      <c r="F25" s="14" t="s">
        <v>12</v>
      </c>
      <c r="G25" s="14" t="s">
        <v>33</v>
      </c>
      <c r="H25" s="14" t="s">
        <v>34</v>
      </c>
      <c r="I25" s="14" t="s">
        <v>14</v>
      </c>
      <c r="J25" s="14" t="s">
        <v>16</v>
      </c>
      <c r="K25" s="14" t="s">
        <v>35</v>
      </c>
      <c r="L25" s="14" t="s">
        <v>36</v>
      </c>
      <c r="M25" s="2" t="s">
        <v>85</v>
      </c>
      <c r="N25" s="2" t="s">
        <v>86</v>
      </c>
      <c r="O25" s="40"/>
      <c r="P25" s="2" t="s">
        <v>37</v>
      </c>
      <c r="Q25" s="2" t="s">
        <v>38</v>
      </c>
      <c r="R25" s="4"/>
      <c r="S25" s="4"/>
      <c r="T25" s="4"/>
      <c r="U25" s="4"/>
      <c r="V25" s="4"/>
      <c r="W25" s="4"/>
      <c r="X25" s="4"/>
      <c r="Y25" s="4"/>
      <c r="Z25" s="4"/>
    </row>
    <row r="26">
      <c r="A26" s="15">
        <f>A21+1</f>
        <v>46038</v>
      </c>
      <c r="B26" s="16" t="str">
        <f t="shared" ref="B26:B41" si="15">text(A26,"ddd")</f>
        <v>Fri</v>
      </c>
      <c r="C26" s="17"/>
      <c r="D26" s="18"/>
      <c r="E26" s="18"/>
      <c r="F26" s="17">
        <v>6.0</v>
      </c>
      <c r="G26" s="18" t="str">
        <f>IF(COUNTIF(Holidays!$A$2:$A$12,$A26)&gt;0, 8,"")</f>
        <v/>
      </c>
      <c r="H26" s="18"/>
      <c r="I26" s="18"/>
      <c r="J26" s="18"/>
      <c r="K26" s="18"/>
      <c r="L26" s="18"/>
      <c r="M26" s="36"/>
      <c r="N26" s="36"/>
      <c r="O26" s="37"/>
      <c r="P26" s="16">
        <f>IF(OR(B26="Sat", B26="Sun"), "", sum(C26:J26))</f>
        <v>6</v>
      </c>
      <c r="Q26" s="16">
        <f t="shared" ref="Q26:Q41" si="16">IF(OR(B26="Sat", B26="Sun"), "", 8)</f>
        <v>8</v>
      </c>
      <c r="R26" s="4"/>
      <c r="S26" s="4"/>
      <c r="T26" s="4"/>
      <c r="U26" s="4"/>
      <c r="V26" s="4"/>
      <c r="W26" s="4"/>
      <c r="X26" s="4"/>
      <c r="Y26" s="4"/>
      <c r="Z26" s="4"/>
    </row>
    <row r="27">
      <c r="A27" s="15">
        <f t="shared" ref="A27:A41" si="17">A26+1</f>
        <v>46039</v>
      </c>
      <c r="B27" s="16" t="str">
        <f t="shared" si="15"/>
        <v>Sat</v>
      </c>
      <c r="C27" s="18"/>
      <c r="D27" s="18"/>
      <c r="E27" s="18"/>
      <c r="F27" s="18"/>
      <c r="G27" s="18" t="str">
        <f>IF(COUNTIF(Holidays!$A$2:$A$12,$A27)&gt;0, 8,"")</f>
        <v/>
      </c>
      <c r="H27" s="18"/>
      <c r="I27" s="18"/>
      <c r="J27" s="18"/>
      <c r="K27" s="18"/>
      <c r="L27" s="18"/>
      <c r="M27" s="18"/>
      <c r="N27" s="18"/>
      <c r="O27" s="38"/>
      <c r="P27" s="18"/>
      <c r="Q27" s="16" t="str">
        <f t="shared" si="16"/>
        <v/>
      </c>
      <c r="R27" s="4"/>
      <c r="S27" s="4"/>
      <c r="T27" s="4"/>
      <c r="U27" s="4"/>
      <c r="V27" s="4"/>
      <c r="W27" s="4"/>
      <c r="X27" s="4"/>
      <c r="Y27" s="4"/>
      <c r="Z27" s="4"/>
    </row>
    <row r="28">
      <c r="A28" s="15">
        <f t="shared" si="17"/>
        <v>46040</v>
      </c>
      <c r="B28" s="16" t="str">
        <f t="shared" si="15"/>
        <v>Sun</v>
      </c>
      <c r="C28" s="18"/>
      <c r="D28" s="18"/>
      <c r="E28" s="18"/>
      <c r="F28" s="18"/>
      <c r="G28" s="18" t="str">
        <f>IF(COUNTIF(Holidays!$A$2:$A$12,$A28)&gt;0, 8,"")</f>
        <v/>
      </c>
      <c r="H28" s="18"/>
      <c r="I28" s="18"/>
      <c r="J28" s="18"/>
      <c r="K28" s="18"/>
      <c r="L28" s="18"/>
      <c r="M28" s="18"/>
      <c r="N28" s="18"/>
      <c r="O28" s="38"/>
      <c r="P28" s="16" t="str">
        <f t="shared" ref="P28:P33" si="18">IF(OR(B28="Sat", B28="Sun"), "", sum(C28:J28))</f>
        <v/>
      </c>
      <c r="Q28" s="16" t="str">
        <f t="shared" si="16"/>
        <v/>
      </c>
      <c r="R28" s="4"/>
      <c r="S28" s="4"/>
      <c r="T28" s="4"/>
      <c r="U28" s="4"/>
      <c r="V28" s="4"/>
      <c r="W28" s="4"/>
      <c r="X28" s="4"/>
      <c r="Y28" s="4"/>
      <c r="Z28" s="4"/>
    </row>
    <row r="29">
      <c r="A29" s="15">
        <f t="shared" si="17"/>
        <v>46041</v>
      </c>
      <c r="B29" s="16" t="str">
        <f t="shared" si="15"/>
        <v>Mon</v>
      </c>
      <c r="C29" s="18"/>
      <c r="D29" s="18"/>
      <c r="E29" s="18"/>
      <c r="F29" s="18"/>
      <c r="G29" s="18">
        <f>IF(COUNTIF(Holidays!$A$2:$A$12,$A29)&gt;0, 8,"")</f>
        <v>8</v>
      </c>
      <c r="H29" s="18"/>
      <c r="I29" s="18"/>
      <c r="J29" s="18"/>
      <c r="K29" s="18"/>
      <c r="L29" s="18"/>
      <c r="M29" s="36"/>
      <c r="N29" s="36"/>
      <c r="O29" s="37"/>
      <c r="P29" s="16">
        <f t="shared" si="18"/>
        <v>8</v>
      </c>
      <c r="Q29" s="16">
        <f t="shared" si="16"/>
        <v>8</v>
      </c>
      <c r="R29" s="4"/>
      <c r="S29" s="4"/>
      <c r="T29" s="4"/>
      <c r="U29" s="4"/>
      <c r="V29" s="4"/>
      <c r="W29" s="4"/>
      <c r="X29" s="4"/>
      <c r="Y29" s="4"/>
      <c r="Z29" s="4"/>
    </row>
    <row r="30">
      <c r="A30" s="15">
        <f t="shared" si="17"/>
        <v>46042</v>
      </c>
      <c r="B30" s="16" t="str">
        <f t="shared" si="15"/>
        <v>Tue</v>
      </c>
      <c r="C30" s="17">
        <v>9.0</v>
      </c>
      <c r="D30" s="18"/>
      <c r="E30" s="18"/>
      <c r="F30" s="18"/>
      <c r="G30" s="18" t="str">
        <f>IF(COUNTIF(Holidays!$A$2:$A$12,$A30)&gt;0, 8,"")</f>
        <v/>
      </c>
      <c r="H30" s="18"/>
      <c r="I30" s="18"/>
      <c r="J30" s="18"/>
      <c r="K30" s="18"/>
      <c r="L30" s="18"/>
      <c r="M30" s="36">
        <v>0.3229166666666667</v>
      </c>
      <c r="N30" s="36">
        <v>0.6979166666666666</v>
      </c>
      <c r="O30" s="37">
        <f t="shared" ref="O30:O33" si="19">N30-M30</f>
        <v>0.375</v>
      </c>
      <c r="P30" s="16">
        <f t="shared" si="18"/>
        <v>9</v>
      </c>
      <c r="Q30" s="16">
        <f t="shared" si="16"/>
        <v>8</v>
      </c>
      <c r="R30" s="4"/>
      <c r="S30" s="4"/>
      <c r="T30" s="4"/>
      <c r="U30" s="4"/>
      <c r="V30" s="4"/>
      <c r="W30" s="4"/>
      <c r="X30" s="4"/>
      <c r="Y30" s="4"/>
      <c r="Z30" s="4"/>
    </row>
    <row r="31">
      <c r="A31" s="15">
        <f t="shared" si="17"/>
        <v>46043</v>
      </c>
      <c r="B31" s="16" t="str">
        <f t="shared" si="15"/>
        <v>Wed</v>
      </c>
      <c r="C31" s="17">
        <v>9.0</v>
      </c>
      <c r="D31" s="18"/>
      <c r="E31" s="17"/>
      <c r="F31" s="18"/>
      <c r="G31" s="18" t="str">
        <f>IF(COUNTIF(Holidays!$A$2:$A$12,$A31)&gt;0, 8,"")</f>
        <v/>
      </c>
      <c r="H31" s="18"/>
      <c r="I31" s="18"/>
      <c r="J31" s="18"/>
      <c r="K31" s="18"/>
      <c r="L31" s="18"/>
      <c r="M31" s="36">
        <v>0.3194444444444444</v>
      </c>
      <c r="N31" s="36">
        <v>0.6944444444444444</v>
      </c>
      <c r="O31" s="37">
        <f t="shared" si="19"/>
        <v>0.375</v>
      </c>
      <c r="P31" s="16">
        <f t="shared" si="18"/>
        <v>9</v>
      </c>
      <c r="Q31" s="16">
        <f t="shared" si="16"/>
        <v>8</v>
      </c>
      <c r="R31" s="4"/>
      <c r="S31" s="4"/>
      <c r="T31" s="4"/>
      <c r="U31" s="4"/>
      <c r="V31" s="4"/>
      <c r="W31" s="4"/>
      <c r="X31" s="4"/>
      <c r="Y31" s="4"/>
      <c r="Z31" s="4"/>
    </row>
    <row r="32">
      <c r="A32" s="15">
        <f t="shared" si="17"/>
        <v>46044</v>
      </c>
      <c r="B32" s="16" t="str">
        <f t="shared" si="15"/>
        <v>Thu</v>
      </c>
      <c r="C32" s="17">
        <v>7.5</v>
      </c>
      <c r="D32" s="18"/>
      <c r="E32" s="17"/>
      <c r="F32" s="18"/>
      <c r="G32" s="18" t="str">
        <f>IF(COUNTIF(Holidays!$A$2:$A$12,$A32)&gt;0, 8,"")</f>
        <v/>
      </c>
      <c r="H32" s="18"/>
      <c r="I32" s="18"/>
      <c r="J32" s="18"/>
      <c r="K32" s="18"/>
      <c r="L32" s="18"/>
      <c r="M32" s="36">
        <v>0.3229166666666667</v>
      </c>
      <c r="N32" s="36">
        <v>0.6354166666666666</v>
      </c>
      <c r="O32" s="37">
        <f t="shared" si="19"/>
        <v>0.3125</v>
      </c>
      <c r="P32" s="16">
        <f t="shared" si="18"/>
        <v>7.5</v>
      </c>
      <c r="Q32" s="16">
        <f t="shared" si="16"/>
        <v>8</v>
      </c>
      <c r="R32" s="4"/>
      <c r="S32" s="4"/>
      <c r="T32" s="4"/>
      <c r="U32" s="4"/>
      <c r="V32" s="4"/>
      <c r="W32" s="4"/>
      <c r="X32" s="4"/>
      <c r="Y32" s="4"/>
      <c r="Z32" s="4"/>
    </row>
    <row r="33">
      <c r="A33" s="15">
        <f t="shared" si="17"/>
        <v>46045</v>
      </c>
      <c r="B33" s="16" t="str">
        <f t="shared" si="15"/>
        <v>Fri</v>
      </c>
      <c r="C33" s="17">
        <v>8.0</v>
      </c>
      <c r="D33" s="18"/>
      <c r="E33" s="17"/>
      <c r="F33" s="18"/>
      <c r="G33" s="18" t="str">
        <f>IF(COUNTIF(Holidays!$A$2:$A$12,$A33)&gt;0, 8,"")</f>
        <v/>
      </c>
      <c r="H33" s="18"/>
      <c r="I33" s="18"/>
      <c r="J33" s="18"/>
      <c r="K33" s="18"/>
      <c r="L33" s="18"/>
      <c r="M33" s="36">
        <v>0.3645833333333333</v>
      </c>
      <c r="N33" s="36">
        <v>0.6979166666666666</v>
      </c>
      <c r="O33" s="37">
        <f t="shared" si="19"/>
        <v>0.3333333333</v>
      </c>
      <c r="P33" s="16">
        <f t="shared" si="18"/>
        <v>8</v>
      </c>
      <c r="Q33" s="16">
        <f t="shared" si="16"/>
        <v>8</v>
      </c>
      <c r="R33" s="4"/>
      <c r="S33" s="4"/>
      <c r="T33" s="4"/>
      <c r="U33" s="4"/>
      <c r="V33" s="4"/>
      <c r="W33" s="4"/>
      <c r="X33" s="4"/>
      <c r="Y33" s="4"/>
      <c r="Z33" s="4"/>
    </row>
    <row r="34">
      <c r="A34" s="15">
        <f t="shared" si="17"/>
        <v>46046</v>
      </c>
      <c r="B34" s="16" t="str">
        <f t="shared" si="15"/>
        <v>Sat</v>
      </c>
      <c r="C34" s="18"/>
      <c r="D34" s="18"/>
      <c r="E34" s="18"/>
      <c r="F34" s="18"/>
      <c r="G34" s="18" t="str">
        <f>IF(COUNTIF(Holidays!$A$2:$A$12,$A34)&gt;0, 8,"")</f>
        <v/>
      </c>
      <c r="H34" s="18"/>
      <c r="I34" s="18"/>
      <c r="J34" s="18"/>
      <c r="K34" s="18"/>
      <c r="L34" s="18"/>
      <c r="M34" s="18"/>
      <c r="N34" s="18"/>
      <c r="O34" s="38"/>
      <c r="P34" s="18"/>
      <c r="Q34" s="16" t="str">
        <f t="shared" si="16"/>
        <v/>
      </c>
      <c r="R34" s="4"/>
      <c r="S34" s="4"/>
      <c r="T34" s="4"/>
      <c r="U34" s="4"/>
      <c r="V34" s="4"/>
      <c r="W34" s="4"/>
      <c r="X34" s="4"/>
      <c r="Y34" s="4"/>
      <c r="Z34" s="4"/>
    </row>
    <row r="35">
      <c r="A35" s="15">
        <f t="shared" si="17"/>
        <v>46047</v>
      </c>
      <c r="B35" s="16" t="str">
        <f t="shared" si="15"/>
        <v>Sun</v>
      </c>
      <c r="C35" s="18"/>
      <c r="D35" s="18"/>
      <c r="E35" s="18"/>
      <c r="F35" s="18"/>
      <c r="G35" s="18" t="str">
        <f>IF(COUNTIF(Holidays!$A$2:$A$12,$A35)&gt;0, 8,"")</f>
        <v/>
      </c>
      <c r="H35" s="18"/>
      <c r="I35" s="18"/>
      <c r="J35" s="18"/>
      <c r="K35" s="18"/>
      <c r="L35" s="18"/>
      <c r="M35" s="18"/>
      <c r="N35" s="18"/>
      <c r="O35" s="38"/>
      <c r="P35" s="16" t="str">
        <f>IF(OR(B35="Sat", B35="Sun"), "", sum(C35:J35))</f>
        <v/>
      </c>
      <c r="Q35" s="16" t="str">
        <f t="shared" si="16"/>
        <v/>
      </c>
      <c r="R35" s="4"/>
      <c r="S35" s="4"/>
      <c r="T35" s="4"/>
      <c r="U35" s="4"/>
      <c r="V35" s="4"/>
      <c r="W35" s="4"/>
      <c r="X35" s="4"/>
      <c r="Y35" s="4"/>
      <c r="Z35" s="4"/>
    </row>
    <row r="36">
      <c r="A36" s="15">
        <f t="shared" si="17"/>
        <v>46048</v>
      </c>
      <c r="B36" s="16" t="str">
        <f t="shared" si="15"/>
        <v>Mon</v>
      </c>
      <c r="C36" s="17"/>
      <c r="D36" s="18"/>
      <c r="E36" s="18"/>
      <c r="F36" s="18"/>
      <c r="G36" s="18" t="str">
        <f>IF(COUNTIF(Holidays!$A$2:$A$12,$A36)&gt;0, 8,"")</f>
        <v/>
      </c>
      <c r="H36" s="18"/>
      <c r="I36" s="18"/>
      <c r="J36" s="18"/>
      <c r="K36" s="17">
        <v>8.0</v>
      </c>
      <c r="L36" s="18"/>
      <c r="M36" s="36"/>
      <c r="N36" s="36"/>
      <c r="O36" s="37"/>
      <c r="P36" s="16">
        <f t="shared" ref="P36:P38" si="20">IF(OR(B36="Sat", B36="Sun"), "", sum(C36:L36))</f>
        <v>8</v>
      </c>
      <c r="Q36" s="16">
        <f t="shared" si="16"/>
        <v>8</v>
      </c>
      <c r="R36" s="4"/>
      <c r="S36" s="4"/>
      <c r="T36" s="4"/>
      <c r="U36" s="4"/>
      <c r="V36" s="4"/>
      <c r="W36" s="4"/>
      <c r="X36" s="4"/>
      <c r="Y36" s="4"/>
      <c r="Z36" s="4"/>
    </row>
    <row r="37">
      <c r="A37" s="15">
        <f t="shared" si="17"/>
        <v>46049</v>
      </c>
      <c r="B37" s="16" t="str">
        <f t="shared" si="15"/>
        <v>Tue</v>
      </c>
      <c r="C37" s="17"/>
      <c r="D37" s="18"/>
      <c r="E37" s="18"/>
      <c r="F37" s="18"/>
      <c r="G37" s="18" t="str">
        <f>IF(COUNTIF(Holidays!$A$2:$A$12,$A37)&gt;0, 8,"")</f>
        <v/>
      </c>
      <c r="H37" s="18"/>
      <c r="I37" s="18"/>
      <c r="J37" s="18"/>
      <c r="K37" s="17">
        <v>8.0</v>
      </c>
      <c r="L37" s="18"/>
      <c r="M37" s="36"/>
      <c r="N37" s="36"/>
      <c r="O37" s="37"/>
      <c r="P37" s="16">
        <f t="shared" si="20"/>
        <v>8</v>
      </c>
      <c r="Q37" s="16">
        <f t="shared" si="16"/>
        <v>8</v>
      </c>
      <c r="R37" s="4"/>
      <c r="S37" s="4"/>
      <c r="T37" s="4"/>
      <c r="U37" s="4"/>
      <c r="V37" s="4"/>
      <c r="W37" s="4"/>
      <c r="X37" s="4"/>
      <c r="Y37" s="4"/>
      <c r="Z37" s="4"/>
    </row>
    <row r="38">
      <c r="A38" s="15">
        <f t="shared" si="17"/>
        <v>46050</v>
      </c>
      <c r="B38" s="16" t="str">
        <f t="shared" si="15"/>
        <v>Wed</v>
      </c>
      <c r="C38" s="17"/>
      <c r="D38" s="18"/>
      <c r="E38" s="18"/>
      <c r="F38" s="18"/>
      <c r="G38" s="18" t="str">
        <f>IF(COUNTIF(Holidays!$A$2:$A$12,$A38)&gt;0, 8,"")</f>
        <v/>
      </c>
      <c r="H38" s="18"/>
      <c r="I38" s="18"/>
      <c r="J38" s="18"/>
      <c r="K38" s="17">
        <v>8.0</v>
      </c>
      <c r="L38" s="18"/>
      <c r="M38" s="36"/>
      <c r="N38" s="36"/>
      <c r="O38" s="37"/>
      <c r="P38" s="16">
        <f t="shared" si="20"/>
        <v>8</v>
      </c>
      <c r="Q38" s="16">
        <f t="shared" si="16"/>
        <v>8</v>
      </c>
      <c r="R38" s="4"/>
      <c r="S38" s="4"/>
      <c r="T38" s="4"/>
      <c r="U38" s="4"/>
      <c r="V38" s="4"/>
      <c r="W38" s="4"/>
      <c r="X38" s="4"/>
      <c r="Y38" s="4"/>
      <c r="Z38" s="4"/>
    </row>
    <row r="39">
      <c r="A39" s="15">
        <f t="shared" si="17"/>
        <v>46051</v>
      </c>
      <c r="B39" s="16" t="str">
        <f t="shared" si="15"/>
        <v>Thu</v>
      </c>
      <c r="C39" s="17">
        <v>8.5</v>
      </c>
      <c r="D39" s="18"/>
      <c r="E39" s="18"/>
      <c r="F39" s="18"/>
      <c r="G39" s="18" t="str">
        <f>IF(COUNTIF(Holidays!$A$2:$A$12,$A39)&gt;0, 8,"")</f>
        <v/>
      </c>
      <c r="H39" s="18"/>
      <c r="I39" s="18"/>
      <c r="J39" s="18"/>
      <c r="K39" s="18"/>
      <c r="L39" s="18"/>
      <c r="M39" s="36">
        <v>0.2916666666666667</v>
      </c>
      <c r="N39" s="36">
        <v>0.65625</v>
      </c>
      <c r="O39" s="37">
        <f t="shared" ref="O39:O40" si="21">N39-M39</f>
        <v>0.3645833333</v>
      </c>
      <c r="P39" s="16">
        <f t="shared" ref="P39:P40" si="22">IF(OR(B39="Sat", B39="Sun"), "", sum(C39:J39))</f>
        <v>8.5</v>
      </c>
      <c r="Q39" s="16">
        <f t="shared" si="16"/>
        <v>8</v>
      </c>
      <c r="R39" s="4"/>
      <c r="S39" s="4"/>
      <c r="T39" s="4"/>
      <c r="U39" s="4"/>
      <c r="V39" s="4"/>
      <c r="W39" s="4"/>
      <c r="X39" s="4"/>
      <c r="Y39" s="4"/>
      <c r="Z39" s="4"/>
    </row>
    <row r="40">
      <c r="A40" s="15">
        <f t="shared" si="17"/>
        <v>46052</v>
      </c>
      <c r="B40" s="16" t="str">
        <f t="shared" si="15"/>
        <v>Fri</v>
      </c>
      <c r="C40" s="17">
        <v>8.0</v>
      </c>
      <c r="D40" s="18"/>
      <c r="E40" s="18"/>
      <c r="F40" s="18"/>
      <c r="G40" s="18" t="str">
        <f>IF(COUNTIF(Holidays!$A$2:$A$12,$A40)&gt;0, 8,"")</f>
        <v/>
      </c>
      <c r="H40" s="18"/>
      <c r="I40" s="18"/>
      <c r="J40" s="18"/>
      <c r="K40" s="18"/>
      <c r="L40" s="18"/>
      <c r="M40" s="36">
        <v>0.3333333333333333</v>
      </c>
      <c r="N40" s="36">
        <v>0.6666666666666666</v>
      </c>
      <c r="O40" s="37">
        <f t="shared" si="21"/>
        <v>0.3333333333</v>
      </c>
      <c r="P40" s="16">
        <f t="shared" si="22"/>
        <v>8</v>
      </c>
      <c r="Q40" s="16">
        <f t="shared" si="16"/>
        <v>8</v>
      </c>
      <c r="R40" s="4"/>
      <c r="S40" s="4"/>
      <c r="T40" s="4"/>
      <c r="U40" s="4"/>
      <c r="V40" s="4"/>
      <c r="W40" s="4"/>
      <c r="X40" s="4"/>
      <c r="Y40" s="4"/>
      <c r="Z40" s="4"/>
    </row>
    <row r="41">
      <c r="A41" s="15">
        <f t="shared" si="17"/>
        <v>46053</v>
      </c>
      <c r="B41" s="16" t="str">
        <f t="shared" si="15"/>
        <v>Sat</v>
      </c>
      <c r="C41" s="18"/>
      <c r="D41" s="18"/>
      <c r="E41" s="18"/>
      <c r="F41" s="18"/>
      <c r="G41" s="18" t="str">
        <f>IF(COUNTIF(Holidays!$A$2:$A$12,$A41)&gt;0, 8,"")</f>
        <v/>
      </c>
      <c r="H41" s="18"/>
      <c r="I41" s="18"/>
      <c r="J41" s="18"/>
      <c r="K41" s="18"/>
      <c r="L41" s="18"/>
      <c r="M41" s="18"/>
      <c r="N41" s="18"/>
      <c r="O41" s="38"/>
      <c r="P41" s="18"/>
      <c r="Q41" s="16" t="str">
        <f t="shared" si="16"/>
        <v/>
      </c>
      <c r="R41" s="4"/>
      <c r="S41" s="4"/>
      <c r="T41" s="4"/>
      <c r="U41" s="4"/>
      <c r="V41" s="4"/>
      <c r="W41" s="4"/>
      <c r="X41" s="4"/>
      <c r="Y41" s="4"/>
      <c r="Z41" s="4"/>
    </row>
    <row r="42">
      <c r="A42" s="2" t="s">
        <v>47</v>
      </c>
      <c r="C42" s="14">
        <f t="shared" ref="C42:L42" si="23">sum(C26:C41)</f>
        <v>50</v>
      </c>
      <c r="D42" s="14">
        <f t="shared" si="23"/>
        <v>0</v>
      </c>
      <c r="E42" s="14">
        <f t="shared" si="23"/>
        <v>0</v>
      </c>
      <c r="F42" s="14">
        <f t="shared" si="23"/>
        <v>6</v>
      </c>
      <c r="G42" s="14">
        <f t="shared" si="23"/>
        <v>8</v>
      </c>
      <c r="H42" s="14">
        <f t="shared" si="23"/>
        <v>0</v>
      </c>
      <c r="I42" s="14">
        <f t="shared" si="23"/>
        <v>0</v>
      </c>
      <c r="J42" s="14">
        <f t="shared" si="23"/>
        <v>0</v>
      </c>
      <c r="K42" s="14">
        <f t="shared" si="23"/>
        <v>24</v>
      </c>
      <c r="L42" s="14">
        <f t="shared" si="23"/>
        <v>0</v>
      </c>
      <c r="M42" s="39">
        <f t="shared" ref="M42:N42" si="24">average(M26:M41)</f>
        <v>0.3258101852</v>
      </c>
      <c r="N42" s="39">
        <f t="shared" si="24"/>
        <v>0.6747685185</v>
      </c>
      <c r="O42" s="40"/>
      <c r="P42" s="14">
        <f t="shared" ref="P42:Q42" si="25">sum(P26:P41)</f>
        <v>88</v>
      </c>
      <c r="Q42" s="14">
        <f t="shared" si="25"/>
        <v>88</v>
      </c>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A22:B22"/>
    <mergeCell ref="A42:B42"/>
  </mergeCells>
  <conditionalFormatting sqref="C7:L21 M9:N10 P9:P10 M16:N17 P16:P17 C26:L41 M27:N28 P27 M34:N35 P34 M41:N41 P41">
    <cfRule type="expression" dxfId="0" priority="1">
      <formula>OR($B7="Sat", $B7="Sun")</formula>
    </cfRule>
  </conditionalFormatting>
  <conditionalFormatting sqref="C7:L21 M9:N10 P9:P10 M16:N17 P16:P17 C26:L41 M27:N28 P27 M34:N35 P34 M41:N41 P41">
    <cfRule type="notContainsBlanks" dxfId="1" priority="2">
      <formula>LEN(TRIM(C7))&gt;0</formula>
    </cfRule>
  </conditionalFormatting>
  <drawing r:id="rId1"/>
</worksheet>
</file>